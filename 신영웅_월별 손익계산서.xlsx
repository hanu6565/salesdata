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50150E-DCEC-4D77-8AB2-46A86DEB94B3}" xr6:coauthVersionLast="36" xr6:coauthVersionMax="36" xr10:uidLastSave="{00000000-0000-0000-0000-000000000000}"/>
  <bookViews>
    <workbookView xWindow="-110" yWindow="-110" windowWidth="38630" windowHeight="21230" activeTab="10" xr2:uid="{00000000-000D-0000-FFFF-FFFF00000000}"/>
  </bookViews>
  <sheets>
    <sheet name="간편 손익분석표" sheetId="5" r:id="rId1"/>
    <sheet name="2510" sheetId="3" r:id="rId2"/>
    <sheet name="2511" sheetId="6" r:id="rId3"/>
    <sheet name="2512" sheetId="2" r:id="rId4"/>
    <sheet name="2601" sheetId="4" r:id="rId5"/>
    <sheet name="2602" sheetId="7" r:id="rId6"/>
    <sheet name="2603" sheetId="8" r:id="rId7"/>
    <sheet name="2604" sheetId="9" r:id="rId8"/>
    <sheet name="2605" sheetId="10" r:id="rId9"/>
    <sheet name="2606" sheetId="11" r:id="rId10"/>
    <sheet name="2607" sheetId="12" r:id="rId1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2" l="1"/>
  <c r="K7" i="11"/>
  <c r="K7" i="10"/>
  <c r="K7" i="9"/>
  <c r="B22" i="12" l="1"/>
  <c r="B23" i="12"/>
  <c r="H7" i="12" l="1"/>
  <c r="B10" i="12"/>
  <c r="B10" i="11"/>
  <c r="H21" i="12"/>
  <c r="B19" i="12"/>
  <c r="H19" i="12"/>
  <c r="B16" i="12"/>
  <c r="B20" i="12"/>
  <c r="B23" i="11" l="1"/>
  <c r="L11" i="5" l="1"/>
  <c r="L10" i="5"/>
  <c r="L9" i="5"/>
  <c r="B17" i="11" l="1"/>
  <c r="B19" i="11"/>
  <c r="H20" i="11"/>
  <c r="B21" i="11"/>
  <c r="B20" i="11"/>
  <c r="H19" i="11"/>
  <c r="H21" i="11"/>
  <c r="O24" i="12"/>
  <c r="I24" i="12"/>
  <c r="C24" i="12"/>
  <c r="O23" i="12"/>
  <c r="I23" i="12"/>
  <c r="C23" i="12"/>
  <c r="S22" i="12"/>
  <c r="R22" i="12"/>
  <c r="O22" i="12"/>
  <c r="I22" i="12"/>
  <c r="C22" i="12"/>
  <c r="R21" i="12"/>
  <c r="O21" i="12"/>
  <c r="I21" i="12"/>
  <c r="C21" i="12"/>
  <c r="R20" i="12"/>
  <c r="O20" i="12"/>
  <c r="I20" i="12"/>
  <c r="C20" i="12"/>
  <c r="R19" i="12"/>
  <c r="O19" i="12"/>
  <c r="I19" i="12"/>
  <c r="C19" i="12"/>
  <c r="R18" i="12"/>
  <c r="O18" i="12"/>
  <c r="I18" i="12"/>
  <c r="C18" i="12"/>
  <c r="R17" i="12"/>
  <c r="O17" i="12"/>
  <c r="I17" i="12"/>
  <c r="C17" i="12"/>
  <c r="R16" i="12"/>
  <c r="O16" i="12"/>
  <c r="I16" i="12"/>
  <c r="F16" i="12"/>
  <c r="C16" i="12"/>
  <c r="R15" i="12"/>
  <c r="O15" i="12"/>
  <c r="I15" i="12"/>
  <c r="F15" i="12"/>
  <c r="C15" i="12"/>
  <c r="R14" i="12"/>
  <c r="O14" i="12"/>
  <c r="I14" i="12"/>
  <c r="F14" i="12"/>
  <c r="C14" i="12"/>
  <c r="R13" i="12"/>
  <c r="O13" i="12"/>
  <c r="K13" i="12"/>
  <c r="L13" i="12" s="1"/>
  <c r="I13" i="12"/>
  <c r="F13" i="12"/>
  <c r="C13" i="12"/>
  <c r="R12" i="12"/>
  <c r="O12" i="12"/>
  <c r="L12" i="12"/>
  <c r="I12" i="12"/>
  <c r="F12" i="12"/>
  <c r="C12" i="12"/>
  <c r="R11" i="12"/>
  <c r="O11" i="12"/>
  <c r="L11" i="12"/>
  <c r="I11" i="12"/>
  <c r="F11" i="12"/>
  <c r="C11" i="12"/>
  <c r="R10" i="12"/>
  <c r="O10" i="12"/>
  <c r="L10" i="12"/>
  <c r="I10" i="12"/>
  <c r="F10" i="12"/>
  <c r="B2" i="12"/>
  <c r="R9" i="12"/>
  <c r="O9" i="12"/>
  <c r="L9" i="12"/>
  <c r="I9" i="12"/>
  <c r="F9" i="12"/>
  <c r="C9" i="12"/>
  <c r="R8" i="12"/>
  <c r="O8" i="12"/>
  <c r="L8" i="12"/>
  <c r="I8" i="12"/>
  <c r="F8" i="12"/>
  <c r="C8" i="12"/>
  <c r="R7" i="12"/>
  <c r="O7" i="12"/>
  <c r="L7" i="12"/>
  <c r="I7" i="12"/>
  <c r="F7" i="12"/>
  <c r="C7" i="12"/>
  <c r="R6" i="12"/>
  <c r="O6" i="12"/>
  <c r="L6" i="12"/>
  <c r="I6" i="12"/>
  <c r="F6" i="12"/>
  <c r="C6" i="12"/>
  <c r="Q5" i="12"/>
  <c r="R5" i="12" s="1"/>
  <c r="O5" i="12"/>
  <c r="L5" i="12"/>
  <c r="I5" i="12"/>
  <c r="F5" i="12"/>
  <c r="C5" i="12"/>
  <c r="O4" i="12"/>
  <c r="L4" i="12"/>
  <c r="I4" i="12"/>
  <c r="F4" i="12"/>
  <c r="C4" i="12"/>
  <c r="O3" i="12"/>
  <c r="K3" i="12"/>
  <c r="L3" i="12" s="1"/>
  <c r="I3" i="12"/>
  <c r="F3" i="12"/>
  <c r="C3" i="12"/>
  <c r="N2" i="12"/>
  <c r="O2" i="12" s="1"/>
  <c r="E2" i="12"/>
  <c r="F2" i="12" s="1"/>
  <c r="F1" i="12"/>
  <c r="H7" i="11"/>
  <c r="B24" i="11"/>
  <c r="B16" i="11"/>
  <c r="K2" i="12" l="1"/>
  <c r="L2" i="12" s="1"/>
  <c r="C2" i="12"/>
  <c r="C10" i="12"/>
  <c r="H2" i="12"/>
  <c r="I2" i="12" s="1"/>
  <c r="H4" i="11"/>
  <c r="R18" i="11"/>
  <c r="R22" i="11"/>
  <c r="O23" i="11"/>
  <c r="I23" i="11"/>
  <c r="C23" i="11"/>
  <c r="O22" i="11"/>
  <c r="I22" i="11"/>
  <c r="C22" i="11"/>
  <c r="O21" i="11"/>
  <c r="I21" i="11"/>
  <c r="C21" i="11"/>
  <c r="O20" i="11"/>
  <c r="I20" i="11"/>
  <c r="C20" i="11"/>
  <c r="O19" i="11"/>
  <c r="I19" i="11"/>
  <c r="C19" i="11"/>
  <c r="O18" i="11"/>
  <c r="I18" i="11"/>
  <c r="C18" i="11"/>
  <c r="Q2" i="12" l="1"/>
  <c r="O24" i="11"/>
  <c r="I24" i="11"/>
  <c r="C24" i="11"/>
  <c r="S22" i="11"/>
  <c r="B2" i="11"/>
  <c r="R21" i="11"/>
  <c r="R20" i="11"/>
  <c r="R19" i="11"/>
  <c r="R17" i="11"/>
  <c r="O17" i="11"/>
  <c r="I17" i="11"/>
  <c r="C17" i="11"/>
  <c r="R16" i="11"/>
  <c r="O16" i="11"/>
  <c r="I16" i="11"/>
  <c r="F16" i="11"/>
  <c r="C16" i="11"/>
  <c r="R15" i="11"/>
  <c r="O15" i="11"/>
  <c r="I15" i="11"/>
  <c r="F15" i="11"/>
  <c r="C15" i="11"/>
  <c r="R14" i="11"/>
  <c r="O14" i="11"/>
  <c r="I14" i="11"/>
  <c r="F14" i="11"/>
  <c r="C14" i="11"/>
  <c r="R13" i="11"/>
  <c r="O13" i="11"/>
  <c r="K13" i="11"/>
  <c r="L13" i="11" s="1"/>
  <c r="I13" i="11"/>
  <c r="F13" i="11"/>
  <c r="C13" i="11"/>
  <c r="R12" i="11"/>
  <c r="O12" i="11"/>
  <c r="L12" i="11"/>
  <c r="I12" i="11"/>
  <c r="F12" i="11"/>
  <c r="C12" i="11"/>
  <c r="R11" i="11"/>
  <c r="O11" i="11"/>
  <c r="L11" i="11"/>
  <c r="I11" i="11"/>
  <c r="F11" i="11"/>
  <c r="C11" i="11"/>
  <c r="R10" i="11"/>
  <c r="O10" i="11"/>
  <c r="L10" i="11"/>
  <c r="I10" i="11"/>
  <c r="F10" i="11"/>
  <c r="C10" i="11"/>
  <c r="R9" i="11"/>
  <c r="O9" i="11"/>
  <c r="L9" i="11"/>
  <c r="I9" i="11"/>
  <c r="F9" i="11"/>
  <c r="C9" i="11"/>
  <c r="R8" i="11"/>
  <c r="O8" i="11"/>
  <c r="L8" i="11"/>
  <c r="I8" i="11"/>
  <c r="F8" i="11"/>
  <c r="C8" i="11"/>
  <c r="R7" i="11"/>
  <c r="O7" i="11"/>
  <c r="L7" i="11"/>
  <c r="I7" i="11"/>
  <c r="F7" i="11"/>
  <c r="C7" i="11"/>
  <c r="R6" i="11"/>
  <c r="O6" i="11"/>
  <c r="L6" i="11"/>
  <c r="I6" i="11"/>
  <c r="F6" i="11"/>
  <c r="C6" i="11"/>
  <c r="Q5" i="11"/>
  <c r="R5" i="11" s="1"/>
  <c r="O5" i="11"/>
  <c r="L5" i="11"/>
  <c r="I5" i="11"/>
  <c r="F5" i="11"/>
  <c r="C5" i="11"/>
  <c r="O4" i="11"/>
  <c r="L4" i="11"/>
  <c r="I4" i="11"/>
  <c r="F4" i="11"/>
  <c r="C4" i="11"/>
  <c r="O3" i="11"/>
  <c r="K3" i="11"/>
  <c r="L3" i="11" s="1"/>
  <c r="I3" i="11"/>
  <c r="F3" i="11"/>
  <c r="C3" i="11"/>
  <c r="N2" i="11"/>
  <c r="O2" i="11" s="1"/>
  <c r="K2" i="11"/>
  <c r="L2" i="11" s="1"/>
  <c r="H2" i="11"/>
  <c r="I2" i="11" s="1"/>
  <c r="E2" i="11"/>
  <c r="F2" i="11" s="1"/>
  <c r="F1" i="11"/>
  <c r="K13" i="10"/>
  <c r="Q23" i="12" l="1"/>
  <c r="R23" i="12" s="1"/>
  <c r="R2" i="12"/>
  <c r="C2" i="11"/>
  <c r="Q2" i="11"/>
  <c r="H11" i="5"/>
  <c r="Q23" i="11" l="1"/>
  <c r="R23" i="11" s="1"/>
  <c r="R2" i="11"/>
  <c r="B21" i="10"/>
  <c r="H20" i="10"/>
  <c r="N8" i="10"/>
  <c r="B20" i="10"/>
  <c r="H19" i="10"/>
  <c r="B19" i="10"/>
  <c r="H21" i="10"/>
  <c r="H7" i="10" l="1"/>
  <c r="B16" i="10" l="1"/>
  <c r="K3" i="3" l="1"/>
  <c r="H23" i="10" l="1"/>
  <c r="O23" i="10"/>
  <c r="I23" i="10"/>
  <c r="C23" i="10"/>
  <c r="O22" i="10"/>
  <c r="I22" i="10"/>
  <c r="C22" i="10"/>
  <c r="S21" i="10"/>
  <c r="O21" i="10"/>
  <c r="I21" i="10"/>
  <c r="C21" i="10"/>
  <c r="R20" i="10"/>
  <c r="O20" i="10"/>
  <c r="I20" i="10"/>
  <c r="C20" i="10"/>
  <c r="R19" i="10"/>
  <c r="O19" i="10"/>
  <c r="I19" i="10"/>
  <c r="C19" i="10"/>
  <c r="R18" i="10"/>
  <c r="O18" i="10"/>
  <c r="I18" i="10"/>
  <c r="C18" i="10"/>
  <c r="R17" i="10"/>
  <c r="O17" i="10"/>
  <c r="I17" i="10"/>
  <c r="C17" i="10"/>
  <c r="R16" i="10"/>
  <c r="O16" i="10"/>
  <c r="I16" i="10"/>
  <c r="F16" i="10"/>
  <c r="C16" i="10"/>
  <c r="R15" i="10"/>
  <c r="O15" i="10"/>
  <c r="I15" i="10"/>
  <c r="F15" i="10"/>
  <c r="C15" i="10"/>
  <c r="R14" i="10"/>
  <c r="O14" i="10"/>
  <c r="I14" i="10"/>
  <c r="F14" i="10"/>
  <c r="C14" i="10"/>
  <c r="R13" i="10"/>
  <c r="O13" i="10"/>
  <c r="I13" i="10"/>
  <c r="F13" i="10"/>
  <c r="C13" i="10"/>
  <c r="R12" i="10"/>
  <c r="O12" i="10"/>
  <c r="L12" i="10"/>
  <c r="I12" i="10"/>
  <c r="F12" i="10"/>
  <c r="C12" i="10"/>
  <c r="R11" i="10"/>
  <c r="O11" i="10"/>
  <c r="L11" i="10"/>
  <c r="I11" i="10"/>
  <c r="F11" i="10"/>
  <c r="C11" i="10"/>
  <c r="R10" i="10"/>
  <c r="O10" i="10"/>
  <c r="L10" i="10"/>
  <c r="I10" i="10"/>
  <c r="F10" i="10"/>
  <c r="B2" i="10"/>
  <c r="R9" i="10"/>
  <c r="O9" i="10"/>
  <c r="L9" i="10"/>
  <c r="I9" i="10"/>
  <c r="F9" i="10"/>
  <c r="C9" i="10"/>
  <c r="R8" i="10"/>
  <c r="O8" i="10"/>
  <c r="L8" i="10"/>
  <c r="I8" i="10"/>
  <c r="F8" i="10"/>
  <c r="C8" i="10"/>
  <c r="R7" i="10"/>
  <c r="O7" i="10"/>
  <c r="L7" i="10"/>
  <c r="I7" i="10"/>
  <c r="F7" i="10"/>
  <c r="C7" i="10"/>
  <c r="R6" i="10"/>
  <c r="O6" i="10"/>
  <c r="L6" i="10"/>
  <c r="I6" i="10"/>
  <c r="F6" i="10"/>
  <c r="C6" i="10"/>
  <c r="Q5" i="10"/>
  <c r="R5" i="10" s="1"/>
  <c r="O5" i="10"/>
  <c r="L5" i="10"/>
  <c r="I5" i="10"/>
  <c r="F5" i="10"/>
  <c r="C5" i="10"/>
  <c r="O4" i="10"/>
  <c r="L4" i="10"/>
  <c r="I4" i="10"/>
  <c r="F4" i="10"/>
  <c r="C4" i="10"/>
  <c r="O3" i="10"/>
  <c r="K3" i="10"/>
  <c r="L3" i="10" s="1"/>
  <c r="I3" i="10"/>
  <c r="F3" i="10"/>
  <c r="C3" i="10"/>
  <c r="N2" i="10"/>
  <c r="O2" i="10" s="1"/>
  <c r="E2" i="10"/>
  <c r="F1" i="10"/>
  <c r="C2" i="10" l="1"/>
  <c r="L13" i="10"/>
  <c r="K2" i="10"/>
  <c r="L2" i="10" s="1"/>
  <c r="F2" i="10"/>
  <c r="H2" i="10"/>
  <c r="I2" i="10" s="1"/>
  <c r="C10" i="10"/>
  <c r="H10" i="5"/>
  <c r="H4" i="9"/>
  <c r="Q2" i="10" l="1"/>
  <c r="Q22" i="10" l="1"/>
  <c r="R22" i="10" s="1"/>
  <c r="R2" i="10"/>
  <c r="H20" i="9"/>
  <c r="B21" i="9"/>
  <c r="B20" i="9"/>
  <c r="B19" i="9"/>
  <c r="H21" i="9"/>
  <c r="H7" i="9" l="1"/>
  <c r="B10" i="9"/>
  <c r="H19" i="8" l="1"/>
  <c r="K13" i="6"/>
  <c r="K13" i="2"/>
  <c r="K13" i="4"/>
  <c r="K13" i="7"/>
  <c r="K13" i="8"/>
  <c r="H9" i="5" l="1"/>
  <c r="O23" i="9" l="1"/>
  <c r="I23" i="9"/>
  <c r="C23" i="9"/>
  <c r="O22" i="9"/>
  <c r="I22" i="9"/>
  <c r="C22" i="9"/>
  <c r="S21" i="9"/>
  <c r="O21" i="9"/>
  <c r="H2" i="9"/>
  <c r="I2" i="9" s="1"/>
  <c r="C21" i="9"/>
  <c r="R20" i="9"/>
  <c r="O20" i="9"/>
  <c r="I20" i="9"/>
  <c r="C20" i="9"/>
  <c r="R19" i="9"/>
  <c r="O19" i="9"/>
  <c r="I19" i="9"/>
  <c r="C19" i="9"/>
  <c r="R18" i="9"/>
  <c r="O18" i="9"/>
  <c r="I18" i="9"/>
  <c r="C18" i="9"/>
  <c r="R17" i="9"/>
  <c r="O17" i="9"/>
  <c r="I17" i="9"/>
  <c r="C17" i="9"/>
  <c r="R16" i="9"/>
  <c r="O16" i="9"/>
  <c r="I16" i="9"/>
  <c r="F16" i="9"/>
  <c r="C16" i="9"/>
  <c r="R15" i="9"/>
  <c r="O15" i="9"/>
  <c r="I15" i="9"/>
  <c r="F15" i="9"/>
  <c r="C15" i="9"/>
  <c r="R14" i="9"/>
  <c r="O14" i="9"/>
  <c r="I14" i="9"/>
  <c r="F14" i="9"/>
  <c r="C14" i="9"/>
  <c r="R13" i="9"/>
  <c r="O13" i="9"/>
  <c r="I13" i="9"/>
  <c r="F13" i="9"/>
  <c r="C13" i="9"/>
  <c r="R12" i="9"/>
  <c r="O12" i="9"/>
  <c r="L12" i="9"/>
  <c r="I12" i="9"/>
  <c r="F12" i="9"/>
  <c r="C12" i="9"/>
  <c r="R11" i="9"/>
  <c r="O11" i="9"/>
  <c r="L11" i="9"/>
  <c r="I11" i="9"/>
  <c r="F11" i="9"/>
  <c r="C11" i="9"/>
  <c r="R10" i="9"/>
  <c r="O10" i="9"/>
  <c r="L10" i="9"/>
  <c r="I10" i="9"/>
  <c r="F10" i="9"/>
  <c r="C10" i="9"/>
  <c r="R9" i="9"/>
  <c r="O9" i="9"/>
  <c r="L9" i="9"/>
  <c r="I9" i="9"/>
  <c r="F9" i="9"/>
  <c r="C9" i="9"/>
  <c r="R8" i="9"/>
  <c r="O8" i="9"/>
  <c r="L8" i="9"/>
  <c r="I8" i="9"/>
  <c r="F8" i="9"/>
  <c r="C8" i="9"/>
  <c r="R7" i="9"/>
  <c r="O7" i="9"/>
  <c r="I7" i="9"/>
  <c r="F7" i="9"/>
  <c r="C7" i="9"/>
  <c r="R6" i="9"/>
  <c r="O6" i="9"/>
  <c r="L6" i="9"/>
  <c r="I6" i="9"/>
  <c r="F6" i="9"/>
  <c r="C6" i="9"/>
  <c r="Q5" i="9"/>
  <c r="R5" i="9" s="1"/>
  <c r="O5" i="9"/>
  <c r="L5" i="9"/>
  <c r="I5" i="9"/>
  <c r="F5" i="9"/>
  <c r="C5" i="9"/>
  <c r="O4" i="9"/>
  <c r="L4" i="9"/>
  <c r="I4" i="9"/>
  <c r="F4" i="9"/>
  <c r="C4" i="9"/>
  <c r="O3" i="9"/>
  <c r="K3" i="9"/>
  <c r="I3" i="9"/>
  <c r="F3" i="9"/>
  <c r="C3" i="9"/>
  <c r="N2" i="9"/>
  <c r="O2" i="9" s="1"/>
  <c r="F1" i="9"/>
  <c r="B20" i="8"/>
  <c r="H20" i="8"/>
  <c r="B2" i="9" l="1"/>
  <c r="L3" i="9"/>
  <c r="E2" i="9"/>
  <c r="I21" i="9"/>
  <c r="N5" i="8"/>
  <c r="N7" i="8"/>
  <c r="B21" i="8"/>
  <c r="H21" i="8"/>
  <c r="B19" i="8"/>
  <c r="F2" i="9" l="1"/>
  <c r="K13" i="9"/>
  <c r="L13" i="9" s="1"/>
  <c r="C2" i="9"/>
  <c r="B18" i="8"/>
  <c r="B16" i="8"/>
  <c r="L7" i="9" l="1"/>
  <c r="K2" i="9"/>
  <c r="O23" i="8"/>
  <c r="I23" i="8"/>
  <c r="C23" i="8"/>
  <c r="O22" i="8"/>
  <c r="I22" i="8"/>
  <c r="C22" i="8"/>
  <c r="S21" i="8"/>
  <c r="O21" i="8"/>
  <c r="I21" i="8"/>
  <c r="C21" i="8"/>
  <c r="R20" i="8"/>
  <c r="O20" i="8"/>
  <c r="I20" i="8"/>
  <c r="C20" i="8"/>
  <c r="R19" i="8"/>
  <c r="O19" i="8"/>
  <c r="I19" i="8"/>
  <c r="C19" i="8"/>
  <c r="R18" i="8"/>
  <c r="O18" i="8"/>
  <c r="I18" i="8"/>
  <c r="C18" i="8"/>
  <c r="R17" i="8"/>
  <c r="O17" i="8"/>
  <c r="I17" i="8"/>
  <c r="C17" i="8"/>
  <c r="R16" i="8"/>
  <c r="O16" i="8"/>
  <c r="I16" i="8"/>
  <c r="F16" i="8"/>
  <c r="C16" i="8"/>
  <c r="R15" i="8"/>
  <c r="O15" i="8"/>
  <c r="I15" i="8"/>
  <c r="F15" i="8"/>
  <c r="C15" i="8"/>
  <c r="R14" i="8"/>
  <c r="O14" i="8"/>
  <c r="I14" i="8"/>
  <c r="F14" i="8"/>
  <c r="C14" i="8"/>
  <c r="R13" i="8"/>
  <c r="O13" i="8"/>
  <c r="I13" i="8"/>
  <c r="F13" i="8"/>
  <c r="C13" i="8"/>
  <c r="R12" i="8"/>
  <c r="O12" i="8"/>
  <c r="L12" i="8"/>
  <c r="I12" i="8"/>
  <c r="F12" i="8"/>
  <c r="C12" i="8"/>
  <c r="R11" i="8"/>
  <c r="O11" i="8"/>
  <c r="L11" i="8"/>
  <c r="I11" i="8"/>
  <c r="F11" i="8"/>
  <c r="C11" i="8"/>
  <c r="R10" i="8"/>
  <c r="O10" i="8"/>
  <c r="L10" i="8"/>
  <c r="I10" i="8"/>
  <c r="F10" i="8"/>
  <c r="C10" i="8"/>
  <c r="R9" i="8"/>
  <c r="O9" i="8"/>
  <c r="L9" i="8"/>
  <c r="I9" i="8"/>
  <c r="F9" i="8"/>
  <c r="C9" i="8"/>
  <c r="R8" i="8"/>
  <c r="O8" i="8"/>
  <c r="L8" i="8"/>
  <c r="I8" i="8"/>
  <c r="F8" i="8"/>
  <c r="C8" i="8"/>
  <c r="R7" i="8"/>
  <c r="O7" i="8"/>
  <c r="I7" i="8"/>
  <c r="F7" i="8"/>
  <c r="C7" i="8"/>
  <c r="R6" i="8"/>
  <c r="O6" i="8"/>
  <c r="L6" i="8"/>
  <c r="I6" i="8"/>
  <c r="F6" i="8"/>
  <c r="C6" i="8"/>
  <c r="Q5" i="8"/>
  <c r="R5" i="8" s="1"/>
  <c r="O5" i="8"/>
  <c r="L5" i="8"/>
  <c r="I5" i="8"/>
  <c r="F5" i="8"/>
  <c r="C5" i="8"/>
  <c r="O4" i="8"/>
  <c r="L4" i="8"/>
  <c r="I4" i="8"/>
  <c r="F4" i="8"/>
  <c r="C4" i="8"/>
  <c r="O3" i="8"/>
  <c r="K3" i="8"/>
  <c r="I3" i="8"/>
  <c r="F3" i="8"/>
  <c r="C3" i="8"/>
  <c r="N2" i="8"/>
  <c r="O2" i="8" s="1"/>
  <c r="H2" i="8"/>
  <c r="I2" i="8" s="1"/>
  <c r="E2" i="8"/>
  <c r="F2" i="8" s="1"/>
  <c r="B2" i="8"/>
  <c r="F1" i="8"/>
  <c r="L2" i="9" l="1"/>
  <c r="Q2" i="9"/>
  <c r="L13" i="8"/>
  <c r="L3" i="8"/>
  <c r="C2" i="8"/>
  <c r="K7" i="8"/>
  <c r="L7" i="8" s="1"/>
  <c r="L8" i="5"/>
  <c r="H8" i="5"/>
  <c r="Q22" i="9" l="1"/>
  <c r="R22" i="9" s="1"/>
  <c r="R2" i="9"/>
  <c r="K2" i="8"/>
  <c r="N8" i="7"/>
  <c r="B10" i="7"/>
  <c r="B20" i="7"/>
  <c r="H20" i="7"/>
  <c r="B19" i="7"/>
  <c r="B18" i="7"/>
  <c r="H21" i="7"/>
  <c r="H19" i="7"/>
  <c r="B16" i="7"/>
  <c r="H7" i="7"/>
  <c r="B10" i="4"/>
  <c r="L2" i="8" l="1"/>
  <c r="Q2" i="8"/>
  <c r="O23" i="7"/>
  <c r="I23" i="7"/>
  <c r="C23" i="7"/>
  <c r="O22" i="7"/>
  <c r="I22" i="7"/>
  <c r="C22" i="7"/>
  <c r="S21" i="7"/>
  <c r="O21" i="7"/>
  <c r="I21" i="7"/>
  <c r="C21" i="7"/>
  <c r="R20" i="7"/>
  <c r="O20" i="7"/>
  <c r="I20" i="7"/>
  <c r="C20" i="7"/>
  <c r="R19" i="7"/>
  <c r="O19" i="7"/>
  <c r="I19" i="7"/>
  <c r="C19" i="7"/>
  <c r="R18" i="7"/>
  <c r="O18" i="7"/>
  <c r="I18" i="7"/>
  <c r="C18" i="7"/>
  <c r="R17" i="7"/>
  <c r="O17" i="7"/>
  <c r="I17" i="7"/>
  <c r="C17" i="7"/>
  <c r="R16" i="7"/>
  <c r="O16" i="7"/>
  <c r="I16" i="7"/>
  <c r="F16" i="7"/>
  <c r="C16" i="7"/>
  <c r="R15" i="7"/>
  <c r="O15" i="7"/>
  <c r="I15" i="7"/>
  <c r="F15" i="7"/>
  <c r="C15" i="7"/>
  <c r="R14" i="7"/>
  <c r="O14" i="7"/>
  <c r="I14" i="7"/>
  <c r="F14" i="7"/>
  <c r="C14" i="7"/>
  <c r="R13" i="7"/>
  <c r="O13" i="7"/>
  <c r="I13" i="7"/>
  <c r="F13" i="7"/>
  <c r="C13" i="7"/>
  <c r="R12" i="7"/>
  <c r="O12" i="7"/>
  <c r="L12" i="7"/>
  <c r="I12" i="7"/>
  <c r="F12" i="7"/>
  <c r="C12" i="7"/>
  <c r="R11" i="7"/>
  <c r="O11" i="7"/>
  <c r="L11" i="7"/>
  <c r="I11" i="7"/>
  <c r="F11" i="7"/>
  <c r="C11" i="7"/>
  <c r="R10" i="7"/>
  <c r="O10" i="7"/>
  <c r="L10" i="7"/>
  <c r="I10" i="7"/>
  <c r="F10" i="7"/>
  <c r="C10" i="7"/>
  <c r="R9" i="7"/>
  <c r="O9" i="7"/>
  <c r="L9" i="7"/>
  <c r="I9" i="7"/>
  <c r="F9" i="7"/>
  <c r="C9" i="7"/>
  <c r="R8" i="7"/>
  <c r="O8" i="7"/>
  <c r="L8" i="7"/>
  <c r="I8" i="7"/>
  <c r="F8" i="7"/>
  <c r="C8" i="7"/>
  <c r="R7" i="7"/>
  <c r="O7" i="7"/>
  <c r="I7" i="7"/>
  <c r="F7" i="7"/>
  <c r="C7" i="7"/>
  <c r="R6" i="7"/>
  <c r="O6" i="7"/>
  <c r="L6" i="7"/>
  <c r="I6" i="7"/>
  <c r="F6" i="7"/>
  <c r="C6" i="7"/>
  <c r="Q5" i="7"/>
  <c r="R5" i="7" s="1"/>
  <c r="O5" i="7"/>
  <c r="L5" i="7"/>
  <c r="I5" i="7"/>
  <c r="F5" i="7"/>
  <c r="C5" i="7"/>
  <c r="O4" i="7"/>
  <c r="L4" i="7"/>
  <c r="I4" i="7"/>
  <c r="F4" i="7"/>
  <c r="C4" i="7"/>
  <c r="O3" i="7"/>
  <c r="K3" i="7"/>
  <c r="L3" i="7" s="1"/>
  <c r="I3" i="7"/>
  <c r="F3" i="7"/>
  <c r="C3" i="7"/>
  <c r="N2" i="7"/>
  <c r="O2" i="7" s="1"/>
  <c r="H2" i="7"/>
  <c r="I2" i="7" s="1"/>
  <c r="E2" i="7"/>
  <c r="K7" i="7" s="1"/>
  <c r="L7" i="7" s="1"/>
  <c r="B2" i="7"/>
  <c r="F1" i="7"/>
  <c r="Q22" i="8" l="1"/>
  <c r="R22" i="8" s="1"/>
  <c r="R2" i="8"/>
  <c r="L13" i="7"/>
  <c r="F2" i="7"/>
  <c r="C2" i="7"/>
  <c r="K2" i="7"/>
  <c r="L2" i="7" s="1"/>
  <c r="L7" i="5"/>
  <c r="H7" i="5"/>
  <c r="H11" i="2"/>
  <c r="Q2" i="7" l="1"/>
  <c r="Q22" i="7" s="1"/>
  <c r="R22" i="7" s="1"/>
  <c r="B20" i="4"/>
  <c r="R2" i="7" l="1"/>
  <c r="N2" i="2" l="1"/>
  <c r="K2" i="3"/>
  <c r="H2" i="3"/>
  <c r="E7" i="3"/>
  <c r="E2" i="3"/>
  <c r="N8" i="2" l="1"/>
  <c r="K9" i="3"/>
  <c r="S5" i="5" l="1"/>
  <c r="S12" i="5"/>
  <c r="S13" i="5"/>
  <c r="S14" i="5"/>
  <c r="S15" i="5"/>
  <c r="S16" i="5"/>
  <c r="S17" i="5"/>
  <c r="S18" i="5"/>
  <c r="S19" i="5"/>
  <c r="S20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S6" i="5" s="1"/>
  <c r="O5" i="5"/>
  <c r="L6" i="5"/>
  <c r="M11" i="5"/>
  <c r="M12" i="5"/>
  <c r="M13" i="5"/>
  <c r="M14" i="5"/>
  <c r="M15" i="5"/>
  <c r="M16" i="5"/>
  <c r="M17" i="5"/>
  <c r="M18" i="5"/>
  <c r="M19" i="5"/>
  <c r="M20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5" i="5"/>
  <c r="M10" i="5"/>
  <c r="M9" i="5"/>
  <c r="M8" i="5"/>
  <c r="M7" i="5"/>
  <c r="M6" i="5"/>
  <c r="L5" i="5"/>
  <c r="M5" i="5" s="1"/>
  <c r="B10" i="6"/>
  <c r="B10" i="2"/>
  <c r="K4" i="3"/>
  <c r="H7" i="3"/>
  <c r="H6" i="3"/>
  <c r="H14" i="3"/>
  <c r="H1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3" i="3"/>
  <c r="B3" i="3"/>
  <c r="E6" i="3"/>
  <c r="E5" i="3"/>
  <c r="E4" i="3"/>
  <c r="E3" i="3"/>
  <c r="B18" i="6"/>
  <c r="C18" i="6"/>
  <c r="H18" i="2"/>
  <c r="B19" i="2"/>
  <c r="C19" i="2"/>
  <c r="B19" i="6"/>
  <c r="H18" i="6"/>
  <c r="B16" i="6"/>
  <c r="B7" i="6"/>
  <c r="B5" i="6"/>
  <c r="C5" i="6" s="1"/>
  <c r="O23" i="6"/>
  <c r="I23" i="6"/>
  <c r="C23" i="6"/>
  <c r="O22" i="6"/>
  <c r="I22" i="6"/>
  <c r="C22" i="6"/>
  <c r="S21" i="6"/>
  <c r="O21" i="6"/>
  <c r="I21" i="6"/>
  <c r="C21" i="6"/>
  <c r="R20" i="6"/>
  <c r="O20" i="6"/>
  <c r="I20" i="6"/>
  <c r="C20" i="6"/>
  <c r="R19" i="6"/>
  <c r="O19" i="6"/>
  <c r="I19" i="6"/>
  <c r="R18" i="6"/>
  <c r="O18" i="6"/>
  <c r="I18" i="6"/>
  <c r="R17" i="6"/>
  <c r="O17" i="6"/>
  <c r="I17" i="6"/>
  <c r="C17" i="6"/>
  <c r="R16" i="6"/>
  <c r="O16" i="6"/>
  <c r="I16" i="6"/>
  <c r="F16" i="6"/>
  <c r="C16" i="6"/>
  <c r="R15" i="6"/>
  <c r="O15" i="6"/>
  <c r="I15" i="6"/>
  <c r="F15" i="6"/>
  <c r="C15" i="6"/>
  <c r="R14" i="6"/>
  <c r="O14" i="6"/>
  <c r="I14" i="6"/>
  <c r="F14" i="6"/>
  <c r="C14" i="6"/>
  <c r="R13" i="6"/>
  <c r="O13" i="6"/>
  <c r="I13" i="6"/>
  <c r="F13" i="6"/>
  <c r="C13" i="6"/>
  <c r="R12" i="6"/>
  <c r="O12" i="6"/>
  <c r="L12" i="6"/>
  <c r="I12" i="6"/>
  <c r="F12" i="6"/>
  <c r="C12" i="6"/>
  <c r="R11" i="6"/>
  <c r="O11" i="6"/>
  <c r="L11" i="6"/>
  <c r="I11" i="6"/>
  <c r="F11" i="6"/>
  <c r="C11" i="6"/>
  <c r="R10" i="6"/>
  <c r="O10" i="6"/>
  <c r="L10" i="6"/>
  <c r="I10" i="6"/>
  <c r="F10" i="6"/>
  <c r="C10" i="6"/>
  <c r="R9" i="6"/>
  <c r="O9" i="6"/>
  <c r="L9" i="6"/>
  <c r="I9" i="6"/>
  <c r="F9" i="6"/>
  <c r="C9" i="6"/>
  <c r="R8" i="6"/>
  <c r="O8" i="6"/>
  <c r="L8" i="6"/>
  <c r="I8" i="6"/>
  <c r="F8" i="6"/>
  <c r="C8" i="6"/>
  <c r="R7" i="6"/>
  <c r="O7" i="6"/>
  <c r="I7" i="6"/>
  <c r="F7" i="6"/>
  <c r="C7" i="6"/>
  <c r="R6" i="6"/>
  <c r="O6" i="6"/>
  <c r="L6" i="6"/>
  <c r="I6" i="6"/>
  <c r="F6" i="6"/>
  <c r="C6" i="6"/>
  <c r="Q5" i="6"/>
  <c r="R5" i="6" s="1"/>
  <c r="O5" i="6"/>
  <c r="L5" i="6"/>
  <c r="I5" i="6"/>
  <c r="F5" i="6"/>
  <c r="O4" i="6"/>
  <c r="L4" i="6"/>
  <c r="I4" i="6"/>
  <c r="F4" i="6"/>
  <c r="C4" i="6"/>
  <c r="O3" i="6"/>
  <c r="K3" i="6"/>
  <c r="I3" i="6"/>
  <c r="F3" i="6"/>
  <c r="C3" i="6"/>
  <c r="N2" i="6"/>
  <c r="O2" i="6" s="1"/>
  <c r="H2" i="6"/>
  <c r="I2" i="6" s="1"/>
  <c r="E2" i="6"/>
  <c r="K7" i="6" s="1"/>
  <c r="L7" i="6" s="1"/>
  <c r="F1" i="6"/>
  <c r="O23" i="4"/>
  <c r="I23" i="4"/>
  <c r="C23" i="4"/>
  <c r="O22" i="4"/>
  <c r="I22" i="4"/>
  <c r="C22" i="4"/>
  <c r="S21" i="4"/>
  <c r="O21" i="4"/>
  <c r="I21" i="4"/>
  <c r="C21" i="4"/>
  <c r="R20" i="4"/>
  <c r="O20" i="4"/>
  <c r="I20" i="4"/>
  <c r="C20" i="4"/>
  <c r="R19" i="4"/>
  <c r="O19" i="4"/>
  <c r="I19" i="4"/>
  <c r="C19" i="4"/>
  <c r="R18" i="4"/>
  <c r="O18" i="4"/>
  <c r="I18" i="4"/>
  <c r="C18" i="4"/>
  <c r="R17" i="4"/>
  <c r="O17" i="4"/>
  <c r="I17" i="4"/>
  <c r="C17" i="4"/>
  <c r="R16" i="4"/>
  <c r="O16" i="4"/>
  <c r="I16" i="4"/>
  <c r="F16" i="4"/>
  <c r="C16" i="4"/>
  <c r="R15" i="4"/>
  <c r="O15" i="4"/>
  <c r="I15" i="4"/>
  <c r="F15" i="4"/>
  <c r="C15" i="4"/>
  <c r="R14" i="4"/>
  <c r="O14" i="4"/>
  <c r="I14" i="4"/>
  <c r="F14" i="4"/>
  <c r="C14" i="4"/>
  <c r="R13" i="4"/>
  <c r="O13" i="4"/>
  <c r="I13" i="4"/>
  <c r="F13" i="4"/>
  <c r="C13" i="4"/>
  <c r="R12" i="4"/>
  <c r="O12" i="4"/>
  <c r="L12" i="4"/>
  <c r="I12" i="4"/>
  <c r="F12" i="4"/>
  <c r="C12" i="4"/>
  <c r="R11" i="4"/>
  <c r="O11" i="4"/>
  <c r="L11" i="4"/>
  <c r="I11" i="4"/>
  <c r="F11" i="4"/>
  <c r="C11" i="4"/>
  <c r="R10" i="4"/>
  <c r="O10" i="4"/>
  <c r="L10" i="4"/>
  <c r="I10" i="4"/>
  <c r="F10" i="4"/>
  <c r="C10" i="4"/>
  <c r="R9" i="4"/>
  <c r="O9" i="4"/>
  <c r="L9" i="4"/>
  <c r="I9" i="4"/>
  <c r="F9" i="4"/>
  <c r="C9" i="4"/>
  <c r="R8" i="4"/>
  <c r="O8" i="4"/>
  <c r="L8" i="4"/>
  <c r="I8" i="4"/>
  <c r="F8" i="4"/>
  <c r="C8" i="4"/>
  <c r="R7" i="4"/>
  <c r="O7" i="4"/>
  <c r="I7" i="4"/>
  <c r="F7" i="4"/>
  <c r="C7" i="4"/>
  <c r="R6" i="4"/>
  <c r="O6" i="4"/>
  <c r="L6" i="4"/>
  <c r="I6" i="4"/>
  <c r="F6" i="4"/>
  <c r="C6" i="4"/>
  <c r="Q5" i="4"/>
  <c r="R5" i="4" s="1"/>
  <c r="O5" i="4"/>
  <c r="L5" i="4"/>
  <c r="I5" i="4"/>
  <c r="F5" i="4"/>
  <c r="C5" i="4"/>
  <c r="O4" i="4"/>
  <c r="L4" i="4"/>
  <c r="I4" i="4"/>
  <c r="F4" i="4"/>
  <c r="C4" i="4"/>
  <c r="O3" i="4"/>
  <c r="K3" i="4"/>
  <c r="I3" i="4"/>
  <c r="F3" i="4"/>
  <c r="C3" i="4"/>
  <c r="N2" i="4"/>
  <c r="O2" i="4" s="1"/>
  <c r="H2" i="4"/>
  <c r="I2" i="4" s="1"/>
  <c r="E2" i="4"/>
  <c r="K7" i="4" s="1"/>
  <c r="L7" i="4" s="1"/>
  <c r="B2" i="4"/>
  <c r="F1" i="4"/>
  <c r="O23" i="2"/>
  <c r="I23" i="2"/>
  <c r="C23" i="2"/>
  <c r="O22" i="2"/>
  <c r="I22" i="2"/>
  <c r="C22" i="2"/>
  <c r="S21" i="2"/>
  <c r="O21" i="2"/>
  <c r="I21" i="2"/>
  <c r="C21" i="2"/>
  <c r="R20" i="2"/>
  <c r="O20" i="2"/>
  <c r="I20" i="2"/>
  <c r="C20" i="2"/>
  <c r="R19" i="2"/>
  <c r="O19" i="2"/>
  <c r="I19" i="2"/>
  <c r="R18" i="2"/>
  <c r="O18" i="2"/>
  <c r="I18" i="2"/>
  <c r="C18" i="2"/>
  <c r="R17" i="2"/>
  <c r="O17" i="2"/>
  <c r="I17" i="2"/>
  <c r="C17" i="2"/>
  <c r="R16" i="2"/>
  <c r="O16" i="2"/>
  <c r="I16" i="2"/>
  <c r="F16" i="2"/>
  <c r="C16" i="2"/>
  <c r="R15" i="2"/>
  <c r="O15" i="2"/>
  <c r="I15" i="2"/>
  <c r="F15" i="2"/>
  <c r="C15" i="2"/>
  <c r="R14" i="2"/>
  <c r="O14" i="2"/>
  <c r="I14" i="2"/>
  <c r="F14" i="2"/>
  <c r="C14" i="2"/>
  <c r="R13" i="2"/>
  <c r="O13" i="2"/>
  <c r="L13" i="2"/>
  <c r="I13" i="2"/>
  <c r="F13" i="2"/>
  <c r="C13" i="2"/>
  <c r="R12" i="2"/>
  <c r="O12" i="2"/>
  <c r="L12" i="2"/>
  <c r="I12" i="2"/>
  <c r="F12" i="2"/>
  <c r="C12" i="2"/>
  <c r="R11" i="2"/>
  <c r="O11" i="2"/>
  <c r="L11" i="2"/>
  <c r="I11" i="2"/>
  <c r="F11" i="2"/>
  <c r="C11" i="2"/>
  <c r="R10" i="2"/>
  <c r="O10" i="2"/>
  <c r="L10" i="2"/>
  <c r="I10" i="2"/>
  <c r="F10" i="2"/>
  <c r="C10" i="2"/>
  <c r="R9" i="2"/>
  <c r="O9" i="2"/>
  <c r="L9" i="2"/>
  <c r="I9" i="2"/>
  <c r="F9" i="2"/>
  <c r="C9" i="2"/>
  <c r="R8" i="2"/>
  <c r="O8" i="2"/>
  <c r="L8" i="2"/>
  <c r="I8" i="2"/>
  <c r="F8" i="2"/>
  <c r="C8" i="2"/>
  <c r="R7" i="2"/>
  <c r="O7" i="2"/>
  <c r="I7" i="2"/>
  <c r="F7" i="2"/>
  <c r="C7" i="2"/>
  <c r="R6" i="2"/>
  <c r="O6" i="2"/>
  <c r="L6" i="2"/>
  <c r="I6" i="2"/>
  <c r="F6" i="2"/>
  <c r="C6" i="2"/>
  <c r="R5" i="2"/>
  <c r="Q5" i="2"/>
  <c r="O5" i="2"/>
  <c r="L5" i="2"/>
  <c r="I5" i="2"/>
  <c r="F5" i="2"/>
  <c r="C5" i="2"/>
  <c r="O4" i="2"/>
  <c r="L4" i="2"/>
  <c r="I4" i="2"/>
  <c r="F4" i="2"/>
  <c r="C4" i="2"/>
  <c r="O3" i="2"/>
  <c r="K3" i="2"/>
  <c r="I3" i="2"/>
  <c r="F3" i="2"/>
  <c r="C3" i="2"/>
  <c r="O2" i="2"/>
  <c r="H2" i="2"/>
  <c r="I2" i="2" s="1"/>
  <c r="E2" i="2"/>
  <c r="K7" i="2" s="1"/>
  <c r="L7" i="2" s="1"/>
  <c r="B2" i="2"/>
  <c r="F1" i="2"/>
  <c r="I20" i="5"/>
  <c r="F20" i="5"/>
  <c r="I19" i="5"/>
  <c r="F19" i="5"/>
  <c r="I18" i="5"/>
  <c r="F18" i="5"/>
  <c r="I17" i="5"/>
  <c r="F17" i="5"/>
  <c r="I16" i="5"/>
  <c r="F16" i="5"/>
  <c r="I15" i="5"/>
  <c r="F15" i="5"/>
  <c r="I14" i="5"/>
  <c r="F14" i="5"/>
  <c r="I13" i="5"/>
  <c r="F13" i="5"/>
  <c r="I12" i="5"/>
  <c r="F12" i="5"/>
  <c r="I11" i="5"/>
  <c r="F11" i="5"/>
  <c r="I10" i="5"/>
  <c r="F10" i="5"/>
  <c r="I9" i="5"/>
  <c r="F9" i="5"/>
  <c r="I8" i="5"/>
  <c r="F8" i="5"/>
  <c r="I7" i="5"/>
  <c r="F7" i="5"/>
  <c r="I6" i="5"/>
  <c r="F6" i="5"/>
  <c r="I5" i="5"/>
  <c r="F5" i="5"/>
  <c r="S11" i="5" l="1"/>
  <c r="L13" i="4"/>
  <c r="F9" i="3"/>
  <c r="F14" i="3"/>
  <c r="F17" i="3"/>
  <c r="F18" i="3"/>
  <c r="F19" i="3"/>
  <c r="F21" i="3"/>
  <c r="F22" i="3"/>
  <c r="F23" i="3"/>
  <c r="F13" i="3"/>
  <c r="F16" i="3"/>
  <c r="F20" i="3"/>
  <c r="F15" i="3"/>
  <c r="F8" i="3"/>
  <c r="F11" i="3"/>
  <c r="F10" i="3"/>
  <c r="F12" i="3"/>
  <c r="B2" i="6"/>
  <c r="C19" i="6"/>
  <c r="L13" i="6"/>
  <c r="K2" i="6"/>
  <c r="L2" i="6" s="1"/>
  <c r="L3" i="6"/>
  <c r="C2" i="6"/>
  <c r="F2" i="6"/>
  <c r="L3" i="4"/>
  <c r="F2" i="4"/>
  <c r="C2" i="4"/>
  <c r="K2" i="2"/>
  <c r="L2" i="2" s="1"/>
  <c r="C2" i="2"/>
  <c r="F2" i="2"/>
  <c r="L3" i="2"/>
  <c r="K2" i="4" l="1"/>
  <c r="L2" i="4" s="1"/>
  <c r="Q2" i="6"/>
  <c r="R2" i="6" s="1"/>
  <c r="Q2" i="2"/>
  <c r="R2" i="2" s="1"/>
  <c r="Q2" i="4" l="1"/>
  <c r="R2" i="4" s="1"/>
  <c r="Q22" i="6"/>
  <c r="R22" i="6" s="1"/>
  <c r="Q22" i="2"/>
  <c r="R22" i="2" s="1"/>
  <c r="Q22" i="4" l="1"/>
  <c r="R22" i="4" s="1"/>
  <c r="B12" i="3"/>
  <c r="B11" i="3"/>
  <c r="B10" i="3"/>
  <c r="B9" i="3"/>
  <c r="B8" i="3"/>
  <c r="B7" i="3"/>
  <c r="B6" i="3"/>
  <c r="B5" i="3"/>
  <c r="B4" i="3"/>
  <c r="I16" i="3" l="1"/>
  <c r="I6" i="3"/>
  <c r="I9" i="3"/>
  <c r="I12" i="3"/>
  <c r="I17" i="3"/>
  <c r="I22" i="3"/>
  <c r="I11" i="3"/>
  <c r="I13" i="3"/>
  <c r="I18" i="3"/>
  <c r="I21" i="3"/>
  <c r="I7" i="3"/>
  <c r="I8" i="3"/>
  <c r="I15" i="3"/>
  <c r="I19" i="3"/>
  <c r="I23" i="3"/>
  <c r="I3" i="3"/>
  <c r="I14" i="3"/>
  <c r="I4" i="3"/>
  <c r="I20" i="3"/>
  <c r="I10" i="3"/>
  <c r="I5" i="3"/>
  <c r="B2" i="3"/>
  <c r="F4" i="3" l="1"/>
  <c r="F5" i="3"/>
  <c r="F6" i="3"/>
  <c r="F3" i="3"/>
  <c r="N2" i="3"/>
  <c r="L3" i="3" l="1"/>
  <c r="L4" i="3"/>
  <c r="L20" i="3"/>
  <c r="L9" i="3"/>
  <c r="L18" i="3"/>
  <c r="L5" i="3"/>
  <c r="L21" i="3"/>
  <c r="L16" i="3"/>
  <c r="L6" i="3"/>
  <c r="L22" i="3"/>
  <c r="L13" i="3"/>
  <c r="L7" i="3"/>
  <c r="L23" i="3"/>
  <c r="L14" i="3"/>
  <c r="L8" i="3"/>
  <c r="L15" i="3"/>
  <c r="L10" i="3"/>
  <c r="L11" i="3"/>
  <c r="L12" i="3"/>
  <c r="L17" i="3"/>
  <c r="L19" i="3"/>
  <c r="I2" i="3"/>
  <c r="C2" i="3" l="1"/>
  <c r="L2" i="3"/>
  <c r="F7" i="3"/>
  <c r="F2" i="3"/>
</calcChain>
</file>

<file path=xl/sharedStrings.xml><?xml version="1.0" encoding="utf-8"?>
<sst xmlns="http://schemas.openxmlformats.org/spreadsheetml/2006/main" count="790" uniqueCount="197">
  <si>
    <t>매출</t>
    <phoneticPr fontId="7" type="noConversion"/>
  </si>
  <si>
    <t>식재료</t>
    <phoneticPr fontId="7" type="noConversion"/>
  </si>
  <si>
    <t>임차료/판매관리</t>
    <phoneticPr fontId="14" type="noConversion"/>
  </si>
  <si>
    <t>세금.보험.수수료</t>
    <phoneticPr fontId="14" type="noConversion"/>
  </si>
  <si>
    <t>손익</t>
    <phoneticPr fontId="7" type="noConversion"/>
  </si>
  <si>
    <t>태영축산</t>
    <phoneticPr fontId="7" type="noConversion"/>
  </si>
  <si>
    <t>소득세/부가세</t>
    <phoneticPr fontId="14" type="noConversion"/>
  </si>
  <si>
    <t>장원유통</t>
    <phoneticPr fontId="7" type="noConversion"/>
  </si>
  <si>
    <t>매장관련/수리/소모품</t>
    <phoneticPr fontId="7" type="noConversion"/>
  </si>
  <si>
    <t>지방세</t>
    <phoneticPr fontId="7" type="noConversion"/>
  </si>
  <si>
    <t>경조/회식</t>
    <phoneticPr fontId="7" type="noConversion"/>
  </si>
  <si>
    <t>대출이자/원금상환</t>
    <phoneticPr fontId="14" type="noConversion"/>
  </si>
  <si>
    <t>평화주류</t>
    <phoneticPr fontId="7" type="noConversion"/>
  </si>
  <si>
    <t>4대보험료/퇴직예수금</t>
    <phoneticPr fontId="7" type="noConversion"/>
  </si>
  <si>
    <t>자문대행료(세무)</t>
    <phoneticPr fontId="7" type="noConversion"/>
  </si>
  <si>
    <t>텔레캅</t>
    <phoneticPr fontId="7" type="noConversion"/>
  </si>
  <si>
    <t>자문대행료(노무)</t>
    <phoneticPr fontId="7" type="noConversion"/>
  </si>
  <si>
    <t>두산방앗간(영주상회)</t>
    <phoneticPr fontId="7" type="noConversion"/>
  </si>
  <si>
    <t>전화</t>
    <phoneticPr fontId="7" type="noConversion"/>
  </si>
  <si>
    <t>화재보험</t>
    <phoneticPr fontId="7" type="noConversion"/>
  </si>
  <si>
    <t>그린위생</t>
    <phoneticPr fontId="7" type="noConversion"/>
  </si>
  <si>
    <t>카드판매수수료</t>
    <phoneticPr fontId="7" type="noConversion"/>
  </si>
  <si>
    <t>홍보/광고/선전비</t>
    <phoneticPr fontId="14" type="noConversion"/>
  </si>
  <si>
    <t>가스(윤일가스)</t>
    <phoneticPr fontId="7" type="noConversion"/>
  </si>
  <si>
    <t>체험단 식사비</t>
    <phoneticPr fontId="7" type="noConversion"/>
  </si>
  <si>
    <t>음식물폐기처리비</t>
    <phoneticPr fontId="7" type="noConversion"/>
  </si>
  <si>
    <t>다르다마케팅</t>
    <phoneticPr fontId="7" type="noConversion"/>
  </si>
  <si>
    <t>코카콜라</t>
    <phoneticPr fontId="7" type="noConversion"/>
  </si>
  <si>
    <t>일당지급</t>
    <phoneticPr fontId="7" type="noConversion"/>
  </si>
  <si>
    <t>최종수익</t>
    <phoneticPr fontId="14" type="noConversion"/>
  </si>
  <si>
    <t>클레오소금</t>
    <phoneticPr fontId="7" type="noConversion"/>
  </si>
  <si>
    <t>마산장차</t>
    <phoneticPr fontId="7" type="noConversion"/>
  </si>
  <si>
    <t>경원수산</t>
    <phoneticPr fontId="7" type="noConversion"/>
  </si>
  <si>
    <t>파도수산</t>
    <phoneticPr fontId="7" type="noConversion"/>
  </si>
  <si>
    <t>김성향</t>
    <phoneticPr fontId="7" type="noConversion"/>
  </si>
  <si>
    <t>엄혜선</t>
    <phoneticPr fontId="7" type="noConversion"/>
  </si>
  <si>
    <t>김한우</t>
    <phoneticPr fontId="7" type="noConversion"/>
  </si>
  <si>
    <r>
      <t>임차료(월세</t>
    </r>
    <r>
      <rPr>
        <sz val="11"/>
        <rFont val="돋움"/>
        <family val="3"/>
        <charset val="129"/>
      </rPr>
      <t>)</t>
    </r>
    <phoneticPr fontId="7" type="noConversion"/>
  </si>
  <si>
    <t>청국장</t>
    <phoneticPr fontId="7" type="noConversion"/>
  </si>
  <si>
    <t>영원유통</t>
    <phoneticPr fontId="6" type="noConversion"/>
  </si>
  <si>
    <t>맛뜰안식품</t>
    <phoneticPr fontId="6" type="noConversion"/>
  </si>
  <si>
    <t>슈퍼멤버스</t>
    <phoneticPr fontId="7" type="noConversion"/>
  </si>
  <si>
    <t>네이버 광고</t>
    <phoneticPr fontId="7" type="noConversion"/>
  </si>
  <si>
    <t>글로우업</t>
    <phoneticPr fontId="7" type="noConversion"/>
  </si>
  <si>
    <t>인건비</t>
    <phoneticPr fontId="14" type="noConversion"/>
  </si>
  <si>
    <t>신한카드</t>
    <phoneticPr fontId="6" type="noConversion"/>
  </si>
  <si>
    <t>삼성카드</t>
    <phoneticPr fontId="6" type="noConversion"/>
  </si>
  <si>
    <t>국민카드(쿠팡)</t>
    <phoneticPr fontId="7" type="noConversion"/>
  </si>
  <si>
    <t>롯데렌탈(카니발)</t>
    <phoneticPr fontId="6" type="noConversion"/>
  </si>
  <si>
    <t>김혜숙</t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</si>
  <si>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(2025</t>
    </r>
    <r>
      <rPr>
        <b/>
        <sz val="14"/>
        <rFont val="돋움"/>
        <family val="3"/>
        <charset val="129"/>
      </rPr>
      <t>년</t>
    </r>
    <r>
      <rPr>
        <b/>
        <sz val="14"/>
        <rFont val="Arial"/>
        <family val="2"/>
      </rPr>
      <t>12</t>
    </r>
    <r>
      <rPr>
        <b/>
        <sz val="14"/>
        <rFont val="돋움"/>
        <family val="3"/>
        <charset val="129"/>
      </rPr>
      <t>월</t>
    </r>
    <r>
      <rPr>
        <b/>
        <sz val="14"/>
        <rFont val="Arial"/>
        <family val="2"/>
      </rPr>
      <t xml:space="preserve">) </t>
    </r>
    <phoneticPr fontId="7" type="noConversion"/>
  </si>
  <si>
    <r>
      <t>산수식품(순두부</t>
    </r>
    <r>
      <rPr>
        <sz val="11"/>
        <rFont val="돋움"/>
        <family val="3"/>
        <charset val="129"/>
      </rPr>
      <t>)</t>
    </r>
    <phoneticPr fontId="6" type="noConversion"/>
  </si>
  <si>
    <t>김순자</t>
    <phoneticPr fontId="7" type="noConversion"/>
  </si>
  <si>
    <t>장일남</t>
    <phoneticPr fontId="7" type="noConversion"/>
  </si>
  <si>
    <t>이건림</t>
    <phoneticPr fontId="7" type="noConversion"/>
  </si>
  <si>
    <t>상하수도</t>
    <phoneticPr fontId="7" type="noConversion"/>
  </si>
  <si>
    <t>전기료</t>
    <phoneticPr fontId="7" type="noConversion"/>
  </si>
  <si>
    <r>
      <rPr>
        <sz val="12"/>
        <rFont val="돋움"/>
        <family val="3"/>
        <charset val="129"/>
      </rPr>
      <t>신용보증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대출</t>
    </r>
    <r>
      <rPr>
        <sz val="12"/>
        <rFont val="Arial"/>
        <family val="2"/>
      </rPr>
      <t xml:space="preserve"> 5</t>
    </r>
    <r>
      <rPr>
        <sz val="12"/>
        <rFont val="돋움"/>
        <family val="3"/>
        <charset val="129"/>
      </rPr>
      <t>천만</t>
    </r>
    <phoneticPr fontId="7" type="noConversion"/>
  </si>
  <si>
    <r>
      <rPr>
        <sz val="12"/>
        <rFont val="돋움"/>
        <family val="3"/>
        <charset val="129"/>
      </rPr>
      <t>신용보증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대출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보증료</t>
    </r>
    <phoneticPr fontId="7" type="noConversion"/>
  </si>
  <si>
    <t>돌핀세제</t>
    <phoneticPr fontId="7" type="noConversion"/>
  </si>
  <si>
    <t>홍합대장</t>
    <phoneticPr fontId="6" type="noConversion"/>
  </si>
  <si>
    <t>홍창순</t>
    <phoneticPr fontId="7" type="noConversion"/>
  </si>
  <si>
    <t>김종환</t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</si>
  <si>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(2025</t>
    </r>
    <r>
      <rPr>
        <b/>
        <sz val="14"/>
        <rFont val="돋움"/>
        <family val="3"/>
        <charset val="129"/>
      </rPr>
      <t>년</t>
    </r>
    <r>
      <rPr>
        <b/>
        <sz val="14"/>
        <rFont val="Arial"/>
        <family val="2"/>
      </rPr>
      <t>11</t>
    </r>
    <r>
      <rPr>
        <b/>
        <sz val="14"/>
        <rFont val="돋움"/>
        <family val="3"/>
        <charset val="129"/>
      </rPr>
      <t>월</t>
    </r>
    <r>
      <rPr>
        <b/>
        <sz val="14"/>
        <rFont val="Arial"/>
        <family val="2"/>
      </rPr>
      <t xml:space="preserve">) </t>
    </r>
    <phoneticPr fontId="7" type="noConversion"/>
  </si>
  <si>
    <t>콩나물</t>
    <phoneticPr fontId="6" type="noConversion"/>
  </si>
  <si>
    <t>콩나물</t>
    <phoneticPr fontId="7" type="noConversion"/>
  </si>
  <si>
    <t>김성훈</t>
    <phoneticPr fontId="7" type="noConversion"/>
  </si>
  <si>
    <t>휘</t>
    <phoneticPr fontId="7" type="noConversion"/>
  </si>
  <si>
    <t>안심</t>
    <phoneticPr fontId="7" type="noConversion"/>
  </si>
  <si>
    <t>커피원두</t>
    <phoneticPr fontId="7" type="noConversion"/>
  </si>
  <si>
    <t>대일종합상사</t>
    <phoneticPr fontId="7" type="noConversion"/>
  </si>
  <si>
    <t>회계법인</t>
    <phoneticPr fontId="7" type="noConversion"/>
  </si>
  <si>
    <t>주차비</t>
    <phoneticPr fontId="7" type="noConversion"/>
  </si>
  <si>
    <r>
      <t>토박이마을(만두</t>
    </r>
    <r>
      <rPr>
        <sz val="11"/>
        <rFont val="돋움"/>
        <family val="3"/>
        <charset val="129"/>
      </rPr>
      <t>)</t>
    </r>
    <phoneticPr fontId="7" type="noConversion"/>
  </si>
  <si>
    <t>한국외식중앙회</t>
    <phoneticPr fontId="7" type="noConversion"/>
  </si>
  <si>
    <t>김순자</t>
    <phoneticPr fontId="6" type="noConversion"/>
  </si>
  <si>
    <r>
      <rPr>
        <b/>
        <sz val="11"/>
        <rFont val="돋움"/>
        <family val="3"/>
        <charset val="129"/>
      </rPr>
      <t>비율</t>
    </r>
    <r>
      <rPr>
        <b/>
        <sz val="11"/>
        <rFont val="Arial"/>
        <family val="2"/>
      </rPr>
      <t xml:space="preserve"> / %</t>
    </r>
    <phoneticPr fontId="7" type="noConversion"/>
  </si>
  <si>
    <t>원</t>
    <phoneticPr fontId="7" type="noConversion"/>
  </si>
  <si>
    <t>월별</t>
    <phoneticPr fontId="7" type="noConversion"/>
  </si>
  <si>
    <t>매출비율</t>
    <phoneticPr fontId="7" type="noConversion"/>
  </si>
  <si>
    <t>인건비</t>
    <phoneticPr fontId="7" type="noConversion"/>
  </si>
  <si>
    <t>식재료+인건비</t>
    <phoneticPr fontId="7" type="noConversion"/>
  </si>
  <si>
    <t>임차료</t>
    <phoneticPr fontId="7" type="noConversion"/>
  </si>
  <si>
    <t>판매관리</t>
    <phoneticPr fontId="7" type="noConversion"/>
  </si>
  <si>
    <t>임차료+판매관리</t>
    <phoneticPr fontId="7" type="noConversion"/>
  </si>
  <si>
    <t>세금</t>
    <phoneticPr fontId="7" type="noConversion"/>
  </si>
  <si>
    <t>보험</t>
    <phoneticPr fontId="7" type="noConversion"/>
  </si>
  <si>
    <t>수수료</t>
    <phoneticPr fontId="7" type="noConversion"/>
  </si>
  <si>
    <t>세금+보험+수수료</t>
    <phoneticPr fontId="7" type="noConversion"/>
  </si>
  <si>
    <t>금액</t>
    <phoneticPr fontId="7" type="noConversion"/>
  </si>
  <si>
    <t>이익</t>
    <phoneticPr fontId="7" type="noConversion"/>
  </si>
  <si>
    <r>
      <t>25년</t>
    </r>
    <r>
      <rPr>
        <sz val="12"/>
        <rFont val="맑은 고딕"/>
        <family val="2"/>
        <charset val="129"/>
      </rPr>
      <t xml:space="preserve"> 11월</t>
    </r>
    <phoneticPr fontId="7" type="noConversion"/>
  </si>
  <si>
    <r>
      <t>25년</t>
    </r>
    <r>
      <rPr>
        <sz val="12"/>
        <rFont val="맑은 고딕"/>
        <family val="2"/>
        <charset val="129"/>
      </rPr>
      <t xml:space="preserve"> 12월</t>
    </r>
    <phoneticPr fontId="7" type="noConversion"/>
  </si>
  <si>
    <r>
      <t>26년</t>
    </r>
    <r>
      <rPr>
        <sz val="12"/>
        <rFont val="맑은 고딕"/>
        <family val="2"/>
        <charset val="129"/>
      </rPr>
      <t xml:space="preserve"> 1월</t>
    </r>
    <phoneticPr fontId="7" type="noConversion"/>
  </si>
  <si>
    <t>신화정보</t>
    <phoneticPr fontId="7" type="noConversion"/>
  </si>
  <si>
    <t>삼성카드</t>
    <phoneticPr fontId="7" type="noConversion"/>
  </si>
  <si>
    <t>인터넷(전화)</t>
    <phoneticPr fontId="7" type="noConversion"/>
  </si>
  <si>
    <t>신한카드</t>
    <phoneticPr fontId="7" type="noConversion"/>
  </si>
  <si>
    <t>재난배상보험</t>
    <phoneticPr fontId="7" type="noConversion"/>
  </si>
  <si>
    <t>신한카드</t>
    <phoneticPr fontId="7" type="noConversion"/>
  </si>
  <si>
    <t>삼성카드</t>
    <phoneticPr fontId="7" type="noConversion"/>
  </si>
  <si>
    <t>매장관련 소모품(입구 장식)</t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</si>
  <si>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01월</t>
    </r>
    <r>
      <rPr>
        <b/>
        <sz val="14"/>
        <rFont val="Arial"/>
        <family val="2"/>
      </rPr>
      <t xml:space="preserve">) </t>
    </r>
    <phoneticPr fontId="7" type="noConversion"/>
  </si>
  <si>
    <t xml:space="preserve">신영웅 초기비용 (2025년10월) </t>
    <phoneticPr fontId="7" type="noConversion"/>
  </si>
  <si>
    <t>최종합계</t>
    <phoneticPr fontId="7" type="noConversion"/>
  </si>
  <si>
    <t>보증금</t>
    <phoneticPr fontId="7" type="noConversion"/>
  </si>
  <si>
    <t>권리금</t>
    <phoneticPr fontId="7" type="noConversion"/>
  </si>
  <si>
    <t>건물 / 설비</t>
    <phoneticPr fontId="14" type="noConversion"/>
  </si>
  <si>
    <t>복비</t>
    <phoneticPr fontId="7" type="noConversion"/>
  </si>
  <si>
    <t>인테리어 / 출력물</t>
    <phoneticPr fontId="14" type="noConversion"/>
  </si>
  <si>
    <t>디자인시안</t>
    <phoneticPr fontId="7" type="noConversion"/>
  </si>
  <si>
    <t>동부냉동</t>
    <phoneticPr fontId="7" type="noConversion"/>
  </si>
  <si>
    <t>성주유통</t>
    <phoneticPr fontId="7" type="noConversion"/>
  </si>
  <si>
    <t>유니폼</t>
    <phoneticPr fontId="7" type="noConversion"/>
  </si>
  <si>
    <t>대일종합상사</t>
    <phoneticPr fontId="7" type="noConversion"/>
  </si>
  <si>
    <t>영웅주방</t>
    <phoneticPr fontId="7" type="noConversion"/>
  </si>
  <si>
    <t>커피머신</t>
    <phoneticPr fontId="7" type="noConversion"/>
  </si>
  <si>
    <t>태성LED</t>
    <phoneticPr fontId="7" type="noConversion"/>
  </si>
  <si>
    <t>롯데주방</t>
    <phoneticPr fontId="7" type="noConversion"/>
  </si>
  <si>
    <t>롯데주방(끌차)</t>
    <phoneticPr fontId="7" type="noConversion"/>
  </si>
  <si>
    <t>홀/주방 용품</t>
    <phoneticPr fontId="7" type="noConversion"/>
  </si>
  <si>
    <t>조개세척기</t>
    <phoneticPr fontId="7" type="noConversion"/>
  </si>
  <si>
    <t>쇼파</t>
    <phoneticPr fontId="7" type="noConversion"/>
  </si>
  <si>
    <t>케이피엘(타일)</t>
    <phoneticPr fontId="7" type="noConversion"/>
  </si>
  <si>
    <t>조명</t>
    <phoneticPr fontId="7" type="noConversion"/>
  </si>
  <si>
    <t>밥공급기</t>
    <phoneticPr fontId="7" type="noConversion"/>
  </si>
  <si>
    <t>뚝배기구매</t>
    <phoneticPr fontId="7" type="noConversion"/>
  </si>
  <si>
    <t>냉동고작업</t>
    <phoneticPr fontId="7" type="noConversion"/>
  </si>
  <si>
    <t>간판</t>
    <phoneticPr fontId="7" type="noConversion"/>
  </si>
  <si>
    <t>전기공사</t>
    <phoneticPr fontId="7" type="noConversion"/>
  </si>
  <si>
    <t>설비공사</t>
    <phoneticPr fontId="7" type="noConversion"/>
  </si>
  <si>
    <t>상인수조</t>
    <phoneticPr fontId="7" type="noConversion"/>
  </si>
  <si>
    <t>시트공사(이재용,유프라임,엠테크)</t>
    <phoneticPr fontId="7" type="noConversion"/>
  </si>
  <si>
    <t>김춘근</t>
    <phoneticPr fontId="7" type="noConversion"/>
  </si>
  <si>
    <t>성실공조</t>
    <phoneticPr fontId="7" type="noConversion"/>
  </si>
  <si>
    <t>쉐마디자인</t>
    <phoneticPr fontId="7" type="noConversion"/>
  </si>
  <si>
    <t>비엡스(디자인)</t>
    <phoneticPr fontId="7" type="noConversion"/>
  </si>
  <si>
    <t>전경수(간판작업)</t>
    <phoneticPr fontId="7" type="noConversion"/>
  </si>
  <si>
    <t>홍보</t>
    <phoneticPr fontId="7" type="noConversion"/>
  </si>
  <si>
    <t>신영웅 청국장 해물뚝배기 간편손익 분석표</t>
    <phoneticPr fontId="7" type="noConversion"/>
  </si>
  <si>
    <t>대출이자</t>
    <phoneticPr fontId="7" type="noConversion"/>
  </si>
  <si>
    <t>META광고</t>
    <phoneticPr fontId="7" type="noConversion"/>
  </si>
  <si>
    <t>상하수도(11.07~12.06)</t>
    <phoneticPr fontId="7" type="noConversion"/>
  </si>
  <si>
    <t>글로우업(인플루언서)</t>
    <phoneticPr fontId="7" type="noConversion"/>
  </si>
  <si>
    <t>클레오파트라소금</t>
    <phoneticPr fontId="7" type="noConversion"/>
  </si>
  <si>
    <t>권필연</t>
    <phoneticPr fontId="7" type="noConversion"/>
  </si>
  <si>
    <t>회식</t>
    <phoneticPr fontId="7" type="noConversion"/>
  </si>
  <si>
    <t>당근광고</t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</si>
  <si>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02월</t>
    </r>
    <r>
      <rPr>
        <b/>
        <sz val="14"/>
        <rFont val="Arial"/>
        <family val="2"/>
      </rPr>
      <t xml:space="preserve">) </t>
    </r>
    <phoneticPr fontId="7" type="noConversion"/>
  </si>
  <si>
    <t>상수도</t>
    <phoneticPr fontId="7" type="noConversion"/>
  </si>
  <si>
    <t>그린위생</t>
  </si>
  <si>
    <t>신한카드</t>
    <phoneticPr fontId="7" type="noConversion"/>
  </si>
  <si>
    <t>국민카드</t>
    <phoneticPr fontId="7" type="noConversion"/>
  </si>
  <si>
    <t>구글광고</t>
    <phoneticPr fontId="7" type="noConversion"/>
  </si>
  <si>
    <t>캐치테이블</t>
    <phoneticPr fontId="7" type="noConversion"/>
  </si>
  <si>
    <r>
      <t>26</t>
    </r>
    <r>
      <rPr>
        <sz val="12"/>
        <rFont val="맑은 고딕"/>
        <family val="3"/>
        <charset val="129"/>
      </rPr>
      <t>년</t>
    </r>
    <r>
      <rPr>
        <sz val="12"/>
        <rFont val="맑은 고딕"/>
        <family val="2"/>
        <charset val="129"/>
      </rPr>
      <t xml:space="preserve"> 2월</t>
    </r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</si>
  <si>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03월</t>
    </r>
    <r>
      <rPr>
        <b/>
        <sz val="14"/>
        <rFont val="Arial"/>
        <family val="2"/>
      </rPr>
      <t xml:space="preserve">) </t>
    </r>
    <phoneticPr fontId="7" type="noConversion"/>
  </si>
  <si>
    <t>꼬막</t>
    <phoneticPr fontId="7" type="noConversion"/>
  </si>
  <si>
    <t>블로그분석</t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</si>
  <si>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04월</t>
    </r>
    <r>
      <rPr>
        <b/>
        <sz val="14"/>
        <rFont val="Arial"/>
        <family val="2"/>
      </rPr>
      <t xml:space="preserve">) </t>
    </r>
    <phoneticPr fontId="7" type="noConversion"/>
  </si>
  <si>
    <t>외식중앙회 쌀</t>
    <phoneticPr fontId="7" type="noConversion"/>
  </si>
  <si>
    <t>최적블로그</t>
    <phoneticPr fontId="7" type="noConversion"/>
  </si>
  <si>
    <t>세스코</t>
    <phoneticPr fontId="7" type="noConversion"/>
  </si>
  <si>
    <r>
      <t>26년</t>
    </r>
    <r>
      <rPr>
        <sz val="12"/>
        <rFont val="맑은 고딕"/>
        <family val="2"/>
        <charset val="129"/>
      </rPr>
      <t xml:space="preserve"> 3월</t>
    </r>
    <phoneticPr fontId="7" type="noConversion"/>
  </si>
  <si>
    <t>김태원</t>
    <phoneticPr fontId="7" type="noConversion"/>
  </si>
  <si>
    <t>서정순</t>
    <phoneticPr fontId="7" type="noConversion"/>
  </si>
  <si>
    <t>MBN방송</t>
    <phoneticPr fontId="7" type="noConversion"/>
  </si>
  <si>
    <r>
      <t>26년</t>
    </r>
    <r>
      <rPr>
        <sz val="12"/>
        <rFont val="맑은 고딕"/>
        <family val="2"/>
        <charset val="129"/>
      </rPr>
      <t xml:space="preserve"> 4월</t>
    </r>
    <phoneticPr fontId="7" type="noConversion"/>
  </si>
  <si>
    <t>매장관련/수리/유니폼</t>
    <phoneticPr fontId="7" type="noConversion"/>
  </si>
  <si>
    <t>최적블로그</t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</si>
  <si>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05월</t>
    </r>
    <r>
      <rPr>
        <b/>
        <sz val="14"/>
        <rFont val="Arial"/>
        <family val="2"/>
      </rPr>
      <t xml:space="preserve">) </t>
    </r>
    <phoneticPr fontId="7" type="noConversion"/>
  </si>
  <si>
    <t>일당백</t>
    <phoneticPr fontId="7" type="noConversion"/>
  </si>
  <si>
    <t>신아가</t>
    <phoneticPr fontId="7" type="noConversion"/>
  </si>
  <si>
    <t>크레인비</t>
    <phoneticPr fontId="7" type="noConversion"/>
  </si>
  <si>
    <t>국세환급</t>
    <phoneticPr fontId="7" type="noConversion"/>
  </si>
  <si>
    <t>머쉬룸</t>
    <phoneticPr fontId="7" type="noConversion"/>
  </si>
  <si>
    <r>
      <t>26년</t>
    </r>
    <r>
      <rPr>
        <sz val="12"/>
        <rFont val="맑은 고딕"/>
        <family val="2"/>
        <charset val="129"/>
      </rPr>
      <t xml:space="preserve"> 5월</t>
    </r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</si>
  <si>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06월</t>
    </r>
    <r>
      <rPr>
        <b/>
        <sz val="14"/>
        <rFont val="Arial"/>
        <family val="2"/>
      </rPr>
      <t xml:space="preserve">) </t>
    </r>
    <phoneticPr fontId="7" type="noConversion"/>
  </si>
  <si>
    <t>부가세</t>
    <phoneticPr fontId="14" type="noConversion"/>
  </si>
  <si>
    <t>소득세</t>
    <phoneticPr fontId="7" type="noConversion"/>
  </si>
  <si>
    <t>근로소득세</t>
    <phoneticPr fontId="7" type="noConversion"/>
  </si>
  <si>
    <t>샐러드</t>
    <phoneticPr fontId="7" type="noConversion"/>
  </si>
  <si>
    <t>새우튀김</t>
    <phoneticPr fontId="7" type="noConversion"/>
  </si>
  <si>
    <t>종소세 수수료</t>
    <phoneticPr fontId="7" type="noConversion"/>
  </si>
  <si>
    <t>노란우산</t>
    <phoneticPr fontId="7" type="noConversion"/>
  </si>
  <si>
    <t>중기청 보험</t>
    <phoneticPr fontId="7" type="noConversion"/>
  </si>
  <si>
    <t>중기청 보험</t>
    <phoneticPr fontId="7" type="noConversion"/>
  </si>
  <si>
    <t>네이버쇼핑</t>
    <phoneticPr fontId="7" type="noConversion"/>
  </si>
  <si>
    <r>
      <rPr>
        <sz val="11"/>
        <rFont val="맑은 고딕"/>
        <family val="3"/>
        <charset val="129"/>
      </rPr>
      <t>커피머신</t>
    </r>
    <r>
      <rPr>
        <sz val="11"/>
        <rFont val="맑은 고딕"/>
        <family val="2"/>
        <charset val="129"/>
      </rPr>
      <t xml:space="preserve"> 수리비 77,000원</t>
    </r>
    <r>
      <rPr>
        <sz val="11"/>
        <rFont val="Arial"/>
        <family val="2"/>
      </rPr>
      <t xml:space="preserve">
</t>
    </r>
    <r>
      <rPr>
        <sz val="11"/>
        <rFont val="맑은 고딕"/>
        <family val="2"/>
        <charset val="129"/>
      </rPr>
      <t>이틀 가게 휴무(신혼여행)</t>
    </r>
    <phoneticPr fontId="7" type="noConversion"/>
  </si>
  <si>
    <r>
      <rPr>
        <b/>
        <sz val="14"/>
        <rFont val="돋움"/>
        <family val="3"/>
        <charset val="129"/>
      </rPr>
      <t>신영웅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손익계산서</t>
    </r>
    <r>
      <rPr>
        <b/>
        <sz val="14"/>
        <rFont val="Arial"/>
        <family val="2"/>
      </rPr>
      <t xml:space="preserve"> (2026</t>
    </r>
    <r>
      <rPr>
        <b/>
        <sz val="14"/>
        <rFont val="돋움"/>
        <family val="3"/>
        <charset val="129"/>
      </rPr>
      <t>년 07월</t>
    </r>
    <r>
      <rPr>
        <b/>
        <sz val="14"/>
        <rFont val="Arial"/>
        <family val="2"/>
      </rPr>
      <t xml:space="preserve">) </t>
    </r>
    <phoneticPr fontId="7" type="noConversion"/>
  </si>
  <si>
    <r>
      <t>26년</t>
    </r>
    <r>
      <rPr>
        <sz val="12"/>
        <rFont val="맑은 고딕"/>
        <family val="2"/>
        <charset val="129"/>
      </rPr>
      <t xml:space="preserve"> 6월</t>
    </r>
    <r>
      <rPr>
        <sz val="11"/>
        <color theme="1"/>
        <rFont val="맑은 고딕"/>
        <family val="2"/>
        <charset val="129"/>
        <scheme val="minor"/>
      </rPr>
      <t/>
    </r>
  </si>
  <si>
    <t>샐러드</t>
    <phoneticPr fontId="7" type="noConversion"/>
  </si>
  <si>
    <t>정용주</t>
    <phoneticPr fontId="7" type="noConversion"/>
  </si>
  <si>
    <t>차이수</t>
    <phoneticPr fontId="7" type="noConversion"/>
  </si>
  <si>
    <t>칼갈이</t>
    <phoneticPr fontId="7" type="noConversion"/>
  </si>
  <si>
    <t xml:space="preserve">에어컨 점검 33,000원 / 롯데주방 국물 그릇 구매50개 </t>
    <phoneticPr fontId="7" type="noConversion"/>
  </si>
  <si>
    <t>블로그분석프로그램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</si>
</sst>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_);[Red]\(#,##0\)"/>
    <numFmt numFmtId="177" formatCode="_-* #,##0_-;\-* #,##0_-;_-* &quot;-&quot;??_-;_-@_-"/>
    <numFmt numFmtId="178" formatCode="0.000"/>
  </numFmts>
  <fonts count="4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name val="Arial"/>
      <family val="3"/>
      <charset val="129"/>
    </font>
    <font>
      <b/>
      <sz val="14"/>
      <name val="돋움"/>
      <family val="3"/>
      <charset val="129"/>
    </font>
    <font>
      <b/>
      <sz val="14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Arial"/>
      <family val="2"/>
    </font>
    <font>
      <b/>
      <sz val="12"/>
      <color indexed="8"/>
      <name val="Arial"/>
      <family val="2"/>
    </font>
    <font>
      <sz val="11"/>
      <name val="Arial"/>
      <family val="2"/>
    </font>
    <font>
      <sz val="11"/>
      <color rgb="FFFF000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6"/>
      <name val="Arial"/>
      <family val="2"/>
    </font>
    <font>
      <sz val="12"/>
      <color indexed="10"/>
      <name val="돋움"/>
      <family val="3"/>
      <charset val="129"/>
    </font>
    <font>
      <sz val="12"/>
      <color theme="0"/>
      <name val="맑은 고딕"/>
      <family val="3"/>
      <charset val="129"/>
      <scheme val="minor"/>
    </font>
    <font>
      <sz val="12"/>
      <color indexed="8"/>
      <name val="Arial"/>
      <family val="2"/>
    </font>
    <font>
      <sz val="12"/>
      <name val="Arial"/>
      <family val="2"/>
    </font>
    <font>
      <sz val="11"/>
      <name val="돋움"/>
      <family val="2"/>
      <charset val="129"/>
    </font>
    <font>
      <sz val="12"/>
      <color rgb="FFFF0000"/>
      <name val="돋움"/>
      <family val="3"/>
      <charset val="129"/>
    </font>
    <font>
      <sz val="12"/>
      <color rgb="FFFF0000"/>
      <name val="Arial"/>
      <family val="2"/>
    </font>
    <font>
      <sz val="12"/>
      <name val="돋움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2"/>
      <name val="Arial"/>
      <family val="2"/>
    </font>
    <font>
      <sz val="12"/>
      <name val="Arial"/>
      <family val="3"/>
      <charset val="129"/>
    </font>
    <font>
      <b/>
      <sz val="11"/>
      <name val="Arial"/>
      <family val="2"/>
    </font>
    <font>
      <sz val="12"/>
      <name val="돋움"/>
      <family val="2"/>
      <charset val="129"/>
    </font>
    <font>
      <sz val="11"/>
      <color indexed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2"/>
      <name val="돋움"/>
      <family val="3"/>
      <charset val="129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0"/>
      <color theme="0"/>
      <name val="돋움"/>
      <family val="3"/>
      <charset val="129"/>
    </font>
    <font>
      <sz val="11"/>
      <color theme="0"/>
      <name val="돋움"/>
      <family val="3"/>
      <charset val="129"/>
    </font>
    <font>
      <b/>
      <sz val="11"/>
      <name val="돋움"/>
      <family val="3"/>
      <charset val="129"/>
    </font>
    <font>
      <sz val="12"/>
      <name val="맑은 고딕"/>
      <family val="2"/>
      <charset val="129"/>
    </font>
    <font>
      <sz val="11"/>
      <color theme="5"/>
      <name val="맑은 고딕"/>
      <family val="3"/>
      <charset val="129"/>
      <scheme val="minor"/>
    </font>
    <font>
      <sz val="11"/>
      <color theme="5"/>
      <name val="Arial"/>
      <family val="2"/>
    </font>
    <font>
      <b/>
      <sz val="14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11"/>
      <color theme="5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name val="맑은 고딕"/>
      <family val="3"/>
      <charset val="129"/>
    </font>
    <font>
      <sz val="11"/>
      <name val="Arial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32">
    <xf numFmtId="0" fontId="0" fillId="0" borderId="0" xfId="0"/>
    <xf numFmtId="41" fontId="8" fillId="0" borderId="0" xfId="1" applyFont="1" applyFill="1" applyAlignment="1">
      <alignment vertical="center" wrapText="1"/>
    </xf>
    <xf numFmtId="3" fontId="9" fillId="0" borderId="0" xfId="0" applyNumberFormat="1" applyFont="1"/>
    <xf numFmtId="10" fontId="10" fillId="0" borderId="1" xfId="2" applyNumberFormat="1" applyFont="1" applyFill="1" applyBorder="1" applyAlignment="1">
      <alignment vertical="center" wrapText="1"/>
    </xf>
    <xf numFmtId="0" fontId="11" fillId="0" borderId="0" xfId="5" applyFont="1">
      <alignment vertical="center"/>
    </xf>
    <xf numFmtId="176" fontId="11" fillId="0" borderId="0" xfId="5" applyNumberFormat="1" applyFont="1">
      <alignment vertical="center"/>
    </xf>
    <xf numFmtId="176" fontId="13" fillId="4" borderId="2" xfId="4" applyNumberFormat="1" applyBorder="1" applyAlignment="1">
      <alignment vertical="center" wrapText="1"/>
    </xf>
    <xf numFmtId="176" fontId="13" fillId="4" borderId="1" xfId="4" applyNumberFormat="1" applyBorder="1" applyAlignment="1">
      <alignment horizontal="right" vertical="center" wrapText="1"/>
    </xf>
    <xf numFmtId="176" fontId="13" fillId="5" borderId="1" xfId="4" applyNumberFormat="1" applyFill="1" applyBorder="1" applyAlignment="1">
      <alignment horizontal="right" vertical="center" wrapText="1"/>
    </xf>
    <xf numFmtId="176" fontId="16" fillId="4" borderId="1" xfId="4" applyNumberFormat="1" applyFont="1" applyBorder="1" applyAlignment="1">
      <alignment horizontal="right" vertical="center" wrapText="1"/>
    </xf>
    <xf numFmtId="10" fontId="17" fillId="0" borderId="1" xfId="2" applyNumberFormat="1" applyFont="1" applyFill="1" applyBorder="1" applyAlignment="1">
      <alignment vertical="center" wrapText="1"/>
    </xf>
    <xf numFmtId="0" fontId="18" fillId="0" borderId="0" xfId="5" applyFont="1" applyAlignment="1">
      <alignment vertical="center" wrapText="1"/>
    </xf>
    <xf numFmtId="0" fontId="11" fillId="0" borderId="0" xfId="5" applyFont="1" applyAlignment="1">
      <alignment vertical="center" wrapText="1"/>
    </xf>
    <xf numFmtId="41" fontId="11" fillId="7" borderId="1" xfId="0" applyNumberFormat="1" applyFont="1" applyFill="1" applyBorder="1"/>
    <xf numFmtId="0" fontId="2" fillId="6" borderId="5" xfId="5" applyFill="1" applyBorder="1" applyAlignment="1">
      <alignment horizontal="left" vertical="center" wrapText="1"/>
    </xf>
    <xf numFmtId="41" fontId="11" fillId="8" borderId="1" xfId="0" applyNumberFormat="1" applyFont="1" applyFill="1" applyBorder="1"/>
    <xf numFmtId="10" fontId="10" fillId="0" borderId="6" xfId="2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41" fontId="18" fillId="9" borderId="1" xfId="0" applyNumberFormat="1" applyFont="1" applyFill="1" applyBorder="1"/>
    <xf numFmtId="0" fontId="21" fillId="0" borderId="0" xfId="5" applyFont="1" applyAlignment="1">
      <alignment vertical="center" wrapText="1"/>
    </xf>
    <xf numFmtId="41" fontId="18" fillId="8" borderId="1" xfId="0" applyNumberFormat="1" applyFont="1" applyFill="1" applyBorder="1"/>
    <xf numFmtId="41" fontId="18" fillId="0" borderId="0" xfId="1" applyFont="1" applyFill="1" applyAlignment="1">
      <alignment vertical="center" wrapText="1"/>
    </xf>
    <xf numFmtId="0" fontId="22" fillId="0" borderId="0" xfId="5" applyFont="1" applyAlignment="1">
      <alignment vertical="center" wrapText="1"/>
    </xf>
    <xf numFmtId="0" fontId="25" fillId="0" borderId="0" xfId="5" applyFont="1" applyAlignment="1">
      <alignment vertical="center" wrapText="1"/>
    </xf>
    <xf numFmtId="41" fontId="11" fillId="7" borderId="4" xfId="0" applyNumberFormat="1" applyFont="1" applyFill="1" applyBorder="1"/>
    <xf numFmtId="41" fontId="2" fillId="0" borderId="1" xfId="1" applyFont="1" applyFill="1" applyBorder="1" applyAlignment="1">
      <alignment horizontal="left" vertical="center" wrapText="1"/>
    </xf>
    <xf numFmtId="0" fontId="27" fillId="0" borderId="0" xfId="5" applyFont="1" applyAlignment="1">
      <alignment vertical="center" wrapText="1"/>
    </xf>
    <xf numFmtId="41" fontId="22" fillId="0" borderId="0" xfId="1" applyFont="1" applyFill="1" applyAlignment="1">
      <alignment vertical="center" wrapText="1"/>
    </xf>
    <xf numFmtId="0" fontId="2" fillId="0" borderId="0" xfId="5" applyAlignment="1">
      <alignment vertical="center" wrapText="1"/>
    </xf>
    <xf numFmtId="0" fontId="31" fillId="0" borderId="0" xfId="5" applyFont="1" applyAlignment="1">
      <alignment vertical="center" wrapText="1"/>
    </xf>
    <xf numFmtId="176" fontId="27" fillId="0" borderId="0" xfId="5" applyNumberFormat="1" applyFont="1" applyAlignment="1">
      <alignment vertical="center" wrapText="1"/>
    </xf>
    <xf numFmtId="0" fontId="32" fillId="0" borderId="0" xfId="5" applyFont="1" applyAlignment="1">
      <alignment vertical="center" wrapText="1"/>
    </xf>
    <xf numFmtId="176" fontId="32" fillId="0" borderId="0" xfId="1" applyNumberFormat="1" applyFont="1" applyFill="1" applyAlignment="1">
      <alignment vertical="center" wrapText="1"/>
    </xf>
    <xf numFmtId="176" fontId="11" fillId="0" borderId="0" xfId="5" applyNumberFormat="1" applyFont="1" applyAlignment="1">
      <alignment vertical="center" wrapText="1"/>
    </xf>
    <xf numFmtId="0" fontId="33" fillId="0" borderId="0" xfId="5" applyFont="1" applyAlignment="1">
      <alignment vertical="center" wrapText="1"/>
    </xf>
    <xf numFmtId="176" fontId="33" fillId="0" borderId="0" xfId="1" applyNumberFormat="1" applyFont="1" applyFill="1" applyAlignment="1">
      <alignment vertical="center" wrapText="1"/>
    </xf>
    <xf numFmtId="0" fontId="34" fillId="0" borderId="0" xfId="5" applyFont="1" applyAlignment="1">
      <alignment vertical="center" wrapText="1"/>
    </xf>
    <xf numFmtId="176" fontId="35" fillId="0" borderId="0" xfId="1" applyNumberFormat="1" applyFont="1" applyFill="1" applyAlignment="1">
      <alignment vertical="center" wrapText="1"/>
    </xf>
    <xf numFmtId="0" fontId="35" fillId="0" borderId="0" xfId="5" applyFont="1" applyAlignment="1">
      <alignment vertical="center" wrapText="1"/>
    </xf>
    <xf numFmtId="0" fontId="36" fillId="0" borderId="0" xfId="5" applyFont="1" applyAlignment="1">
      <alignment vertical="center" wrapText="1"/>
    </xf>
    <xf numFmtId="176" fontId="34" fillId="0" borderId="0" xfId="5" applyNumberFormat="1" applyFont="1" applyAlignment="1">
      <alignment vertical="center" wrapText="1"/>
    </xf>
    <xf numFmtId="0" fontId="33" fillId="0" borderId="0" xfId="5" applyFont="1" applyFill="1" applyAlignment="1">
      <alignment vertical="center" wrapText="1"/>
    </xf>
    <xf numFmtId="0" fontId="34" fillId="0" borderId="0" xfId="5" applyFont="1" applyFill="1" applyAlignment="1">
      <alignment vertical="center" wrapText="1"/>
    </xf>
    <xf numFmtId="0" fontId="36" fillId="0" borderId="0" xfId="5" applyFont="1" applyFill="1" applyAlignment="1">
      <alignment vertical="center" wrapText="1"/>
    </xf>
    <xf numFmtId="0" fontId="25" fillId="0" borderId="0" xfId="5" applyFont="1" applyAlignment="1">
      <alignment horizontal="left" vertical="center" wrapText="1"/>
    </xf>
    <xf numFmtId="0" fontId="27" fillId="0" borderId="0" xfId="5" applyFont="1" applyAlignment="1">
      <alignment horizontal="left" vertical="center" wrapText="1"/>
    </xf>
    <xf numFmtId="0" fontId="11" fillId="0" borderId="0" xfId="5" applyFont="1" applyAlignment="1">
      <alignment horizontal="left" vertical="center" wrapText="1"/>
    </xf>
    <xf numFmtId="41" fontId="0" fillId="6" borderId="1" xfId="1" applyFont="1" applyFill="1" applyBorder="1" applyAlignment="1">
      <alignment horizontal="left" vertical="center" wrapText="1"/>
    </xf>
    <xf numFmtId="41" fontId="0" fillId="0" borderId="1" xfId="1" applyFont="1" applyFill="1" applyBorder="1" applyAlignment="1">
      <alignment horizontal="left" vertical="center" wrapText="1"/>
    </xf>
    <xf numFmtId="41" fontId="12" fillId="0" borderId="2" xfId="1" applyFont="1" applyFill="1" applyBorder="1" applyAlignment="1">
      <alignment vertical="center" wrapText="1"/>
    </xf>
    <xf numFmtId="41" fontId="2" fillId="6" borderId="4" xfId="1" applyFont="1" applyFill="1" applyBorder="1" applyAlignment="1">
      <alignment vertical="center" wrapText="1"/>
    </xf>
    <xf numFmtId="41" fontId="2" fillId="6" borderId="1" xfId="1" applyFont="1" applyFill="1" applyBorder="1" applyAlignment="1">
      <alignment vertical="center" wrapText="1"/>
    </xf>
    <xf numFmtId="41" fontId="0" fillId="6" borderId="1" xfId="1" applyFont="1" applyFill="1" applyBorder="1" applyAlignment="1">
      <alignment vertical="center" wrapText="1"/>
    </xf>
    <xf numFmtId="41" fontId="2" fillId="0" borderId="1" xfId="1" applyFont="1" applyFill="1" applyBorder="1" applyAlignment="1">
      <alignment vertical="center" wrapText="1"/>
    </xf>
    <xf numFmtId="41" fontId="0" fillId="0" borderId="4" xfId="1" applyFont="1" applyFill="1" applyBorder="1" applyAlignment="1">
      <alignment vertical="center" wrapText="1"/>
    </xf>
    <xf numFmtId="41" fontId="2" fillId="0" borderId="4" xfId="1" applyFont="1" applyFill="1" applyBorder="1" applyAlignment="1">
      <alignment vertical="center" wrapText="1"/>
    </xf>
    <xf numFmtId="41" fontId="0" fillId="0" borderId="1" xfId="1" applyFont="1" applyFill="1" applyBorder="1" applyAlignment="1">
      <alignment vertical="center" wrapText="1"/>
    </xf>
    <xf numFmtId="42" fontId="0" fillId="6" borderId="5" xfId="5" applyNumberFormat="1" applyFont="1" applyFill="1" applyBorder="1" applyAlignment="1">
      <alignment vertical="center" wrapText="1"/>
    </xf>
    <xf numFmtId="42" fontId="0" fillId="6" borderId="1" xfId="0" applyNumberFormat="1" applyFill="1" applyBorder="1" applyAlignment="1">
      <alignment vertical="center"/>
    </xf>
    <xf numFmtId="42" fontId="2" fillId="6" borderId="5" xfId="5" applyNumberFormat="1" applyFill="1" applyBorder="1" applyAlignment="1">
      <alignment vertical="center" wrapText="1"/>
    </xf>
    <xf numFmtId="42" fontId="2" fillId="6" borderId="1" xfId="5" applyNumberFormat="1" applyFill="1" applyBorder="1" applyAlignment="1">
      <alignment horizontal="left" vertical="center" wrapText="1"/>
    </xf>
    <xf numFmtId="42" fontId="0" fillId="6" borderId="1" xfId="5" applyNumberFormat="1" applyFont="1" applyFill="1" applyBorder="1" applyAlignment="1">
      <alignment horizontal="left" vertical="center" wrapText="1"/>
    </xf>
    <xf numFmtId="42" fontId="29" fillId="6" borderId="1" xfId="1" applyNumberFormat="1" applyFont="1" applyFill="1" applyBorder="1" applyAlignment="1">
      <alignment horizontal="left" vertical="center" wrapText="1"/>
    </xf>
    <xf numFmtId="41" fontId="0" fillId="0" borderId="4" xfId="1" applyFont="1" applyFill="1" applyBorder="1" applyAlignment="1">
      <alignment horizontal="left" vertical="center" wrapText="1"/>
    </xf>
    <xf numFmtId="176" fontId="11" fillId="8" borderId="1" xfId="1" applyNumberFormat="1" applyFont="1" applyFill="1" applyBorder="1" applyAlignment="1">
      <alignment horizontal="right" vertical="center" wrapText="1"/>
    </xf>
    <xf numFmtId="42" fontId="2" fillId="6" borderId="1" xfId="1" applyNumberFormat="1" applyFont="1" applyFill="1" applyBorder="1" applyAlignment="1">
      <alignment vertical="center" wrapText="1"/>
    </xf>
    <xf numFmtId="42" fontId="0" fillId="6" borderId="1" xfId="1" applyNumberFormat="1" applyFont="1" applyFill="1" applyBorder="1" applyAlignment="1">
      <alignment vertical="center" wrapText="1"/>
    </xf>
    <xf numFmtId="176" fontId="24" fillId="2" borderId="1" xfId="3" applyNumberFormat="1" applyBorder="1" applyAlignment="1">
      <alignment horizontal="right" vertical="center" wrapText="1"/>
    </xf>
    <xf numFmtId="176" fontId="24" fillId="2" borderId="1" xfId="3" applyNumberFormat="1" applyBorder="1" applyAlignment="1">
      <alignment horizontal="right" vertical="center"/>
    </xf>
    <xf numFmtId="42" fontId="0" fillId="6" borderId="1" xfId="0" applyNumberFormat="1" applyFill="1" applyBorder="1" applyAlignment="1">
      <alignment horizontal="left" vertical="center"/>
    </xf>
    <xf numFmtId="42" fontId="0" fillId="6" borderId="1" xfId="0" applyNumberFormat="1" applyFill="1" applyBorder="1" applyAlignment="1"/>
    <xf numFmtId="0" fontId="0" fillId="6" borderId="1" xfId="0" applyFill="1" applyBorder="1" applyAlignment="1">
      <alignment horizontal="left"/>
    </xf>
    <xf numFmtId="0" fontId="2" fillId="6" borderId="1" xfId="5" applyFill="1" applyBorder="1" applyAlignment="1">
      <alignment horizontal="left" vertical="center" wrapText="1"/>
    </xf>
    <xf numFmtId="176" fontId="30" fillId="8" borderId="1" xfId="5" applyNumberFormat="1" applyFont="1" applyFill="1" applyBorder="1" applyAlignment="1">
      <alignment vertical="center" wrapText="1"/>
    </xf>
    <xf numFmtId="41" fontId="12" fillId="0" borderId="1" xfId="1" applyFont="1" applyFill="1" applyBorder="1" applyAlignment="1">
      <alignment vertical="center" wrapText="1"/>
    </xf>
    <xf numFmtId="42" fontId="12" fillId="0" borderId="1" xfId="1" applyNumberFormat="1" applyFont="1" applyFill="1" applyBorder="1" applyAlignment="1">
      <alignment horizontal="left" vertical="center" wrapText="1"/>
    </xf>
    <xf numFmtId="42" fontId="2" fillId="0" borderId="1" xfId="1" applyNumberFormat="1" applyFont="1" applyFill="1" applyBorder="1" applyAlignment="1">
      <alignment horizontal="left" vertical="center" wrapText="1"/>
    </xf>
    <xf numFmtId="42" fontId="19" fillId="0" borderId="1" xfId="5" applyNumberFormat="1" applyFont="1" applyBorder="1" applyAlignment="1">
      <alignment horizontal="left" vertical="center" wrapText="1"/>
    </xf>
    <xf numFmtId="42" fontId="0" fillId="0" borderId="1" xfId="1" applyNumberFormat="1" applyFont="1" applyFill="1" applyBorder="1" applyAlignment="1">
      <alignment horizontal="left" vertical="center" wrapText="1"/>
    </xf>
    <xf numFmtId="42" fontId="22" fillId="0" borderId="1" xfId="5" applyNumberFormat="1" applyFont="1" applyBorder="1" applyAlignment="1">
      <alignment horizontal="left" vertical="center" wrapText="1"/>
    </xf>
    <xf numFmtId="42" fontId="0" fillId="6" borderId="1" xfId="0" applyNumberFormat="1" applyFill="1" applyBorder="1" applyAlignment="1">
      <alignment horizontal="left"/>
    </xf>
    <xf numFmtId="42" fontId="2" fillId="0" borderId="1" xfId="5" applyNumberFormat="1" applyBorder="1">
      <alignment vertical="center"/>
    </xf>
    <xf numFmtId="10" fontId="10" fillId="0" borderId="4" xfId="2" applyNumberFormat="1" applyFont="1" applyFill="1" applyBorder="1" applyAlignment="1">
      <alignment vertical="center" wrapText="1"/>
    </xf>
    <xf numFmtId="42" fontId="0" fillId="6" borderId="8" xfId="5" applyNumberFormat="1" applyFont="1" applyFill="1" applyBorder="1" applyAlignment="1">
      <alignment vertical="center" wrapText="1"/>
    </xf>
    <xf numFmtId="41" fontId="11" fillId="8" borderId="4" xfId="0" applyNumberFormat="1" applyFont="1" applyFill="1" applyBorder="1"/>
    <xf numFmtId="10" fontId="10" fillId="0" borderId="7" xfId="2" applyNumberFormat="1" applyFont="1" applyFill="1" applyBorder="1" applyAlignment="1">
      <alignment vertical="center" wrapText="1"/>
    </xf>
    <xf numFmtId="176" fontId="13" fillId="4" borderId="2" xfId="4" applyNumberFormat="1" applyBorder="1" applyAlignment="1">
      <alignment horizontal="right" vertical="center" wrapText="1"/>
    </xf>
    <xf numFmtId="10" fontId="10" fillId="0" borderId="2" xfId="2" applyNumberFormat="1" applyFont="1" applyFill="1" applyBorder="1" applyAlignment="1">
      <alignment vertical="center" wrapText="1"/>
    </xf>
    <xf numFmtId="176" fontId="13" fillId="5" borderId="2" xfId="4" applyNumberFormat="1" applyFill="1" applyBorder="1" applyAlignment="1">
      <alignment horizontal="right" vertical="center" wrapText="1"/>
    </xf>
    <xf numFmtId="41" fontId="15" fillId="0" borderId="2" xfId="1" applyFont="1" applyFill="1" applyBorder="1" applyAlignment="1">
      <alignment horizontal="left" vertical="center" wrapText="1"/>
    </xf>
    <xf numFmtId="176" fontId="16" fillId="4" borderId="2" xfId="4" applyNumberFormat="1" applyFont="1" applyBorder="1" applyAlignment="1">
      <alignment horizontal="right" vertical="center" wrapText="1"/>
    </xf>
    <xf numFmtId="10" fontId="17" fillId="0" borderId="2" xfId="2" applyNumberFormat="1" applyFont="1" applyFill="1" applyBorder="1" applyAlignment="1">
      <alignment vertical="center" wrapText="1"/>
    </xf>
    <xf numFmtId="41" fontId="8" fillId="0" borderId="3" xfId="1" applyFont="1" applyFill="1" applyBorder="1" applyAlignment="1">
      <alignment vertical="center" wrapText="1"/>
    </xf>
    <xf numFmtId="3" fontId="9" fillId="0" borderId="3" xfId="0" applyNumberFormat="1" applyFont="1" applyBorder="1"/>
    <xf numFmtId="10" fontId="10" fillId="0" borderId="3" xfId="2" applyNumberFormat="1" applyFont="1" applyFill="1" applyBorder="1" applyAlignment="1">
      <alignment vertical="center" wrapText="1"/>
    </xf>
    <xf numFmtId="10" fontId="4" fillId="0" borderId="9" xfId="2" applyNumberFormat="1" applyFont="1" applyBorder="1"/>
    <xf numFmtId="41" fontId="12" fillId="0" borderId="10" xfId="1" applyFont="1" applyFill="1" applyBorder="1" applyAlignment="1">
      <alignment vertical="center" wrapText="1"/>
    </xf>
    <xf numFmtId="42" fontId="12" fillId="0" borderId="10" xfId="1" applyNumberFormat="1" applyFont="1" applyFill="1" applyBorder="1" applyAlignment="1">
      <alignment horizontal="left" vertical="center" wrapText="1"/>
    </xf>
    <xf numFmtId="41" fontId="18" fillId="9" borderId="6" xfId="0" applyNumberFormat="1" applyFont="1" applyFill="1" applyBorder="1"/>
    <xf numFmtId="176" fontId="11" fillId="8" borderId="14" xfId="1" applyNumberFormat="1" applyFont="1" applyFill="1" applyBorder="1" applyAlignment="1">
      <alignment horizontal="right" vertical="center" wrapText="1"/>
    </xf>
    <xf numFmtId="42" fontId="2" fillId="0" borderId="14" xfId="1" applyNumberFormat="1" applyFont="1" applyFill="1" applyBorder="1" applyAlignment="1">
      <alignment horizontal="left" vertical="center" wrapText="1"/>
    </xf>
    <xf numFmtId="10" fontId="10" fillId="0" borderId="14" xfId="2" applyNumberFormat="1" applyFont="1" applyFill="1" applyBorder="1" applyAlignment="1">
      <alignment vertical="center" wrapText="1"/>
    </xf>
    <xf numFmtId="0" fontId="18" fillId="0" borderId="14" xfId="5" applyFont="1" applyBorder="1" applyAlignment="1">
      <alignment horizontal="left" vertical="center" wrapText="1"/>
    </xf>
    <xf numFmtId="0" fontId="18" fillId="0" borderId="14" xfId="5" applyFont="1" applyBorder="1" applyAlignment="1">
      <alignment vertical="center" wrapText="1"/>
    </xf>
    <xf numFmtId="0" fontId="18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vertical="center" wrapText="1"/>
    </xf>
    <xf numFmtId="41" fontId="20" fillId="0" borderId="1" xfId="1" applyFont="1" applyFill="1" applyBorder="1" applyAlignment="1">
      <alignment horizontal="left" vertical="center" wrapText="1"/>
    </xf>
    <xf numFmtId="41" fontId="18" fillId="0" borderId="1" xfId="1" applyFont="1" applyFill="1" applyBorder="1" applyAlignment="1">
      <alignment horizontal="left" vertical="center" wrapText="1"/>
    </xf>
    <xf numFmtId="176" fontId="23" fillId="8" borderId="1" xfId="1" applyNumberFormat="1" applyFont="1" applyFill="1" applyBorder="1" applyAlignment="1">
      <alignment horizontal="right" vertical="center" wrapText="1"/>
    </xf>
    <xf numFmtId="41" fontId="22" fillId="0" borderId="1" xfId="1" applyFont="1" applyFill="1" applyBorder="1" applyAlignment="1">
      <alignment horizontal="left" vertical="center" wrapText="1"/>
    </xf>
    <xf numFmtId="41" fontId="24" fillId="3" borderId="1" xfId="1" applyFont="1" applyFill="1" applyBorder="1" applyAlignment="1">
      <alignment horizontal="right" vertical="center" wrapText="1"/>
    </xf>
    <xf numFmtId="41" fontId="26" fillId="0" borderId="1" xfId="1" applyFont="1" applyFill="1" applyBorder="1" applyAlignment="1">
      <alignment horizontal="left" vertical="center" wrapText="1"/>
    </xf>
    <xf numFmtId="41" fontId="28" fillId="0" borderId="1" xfId="1" applyFont="1" applyFill="1" applyBorder="1" applyAlignment="1">
      <alignment horizontal="left" vertical="center" wrapText="1"/>
    </xf>
    <xf numFmtId="0" fontId="22" fillId="0" borderId="1" xfId="5" applyFont="1" applyBorder="1" applyAlignment="1">
      <alignment horizontal="left" vertical="center" wrapText="1"/>
    </xf>
    <xf numFmtId="0" fontId="22" fillId="0" borderId="1" xfId="5" applyFont="1" applyBorder="1" applyAlignment="1">
      <alignment vertical="center" wrapText="1"/>
    </xf>
    <xf numFmtId="177" fontId="20" fillId="0" borderId="1" xfId="5" applyNumberFormat="1" applyFont="1" applyBorder="1" applyAlignment="1">
      <alignment vertical="center" wrapText="1"/>
    </xf>
    <xf numFmtId="176" fontId="11" fillId="0" borderId="0" xfId="5" applyNumberFormat="1" applyFont="1" applyFill="1" applyAlignment="1">
      <alignment vertical="center"/>
    </xf>
    <xf numFmtId="0" fontId="11" fillId="0" borderId="0" xfId="5" applyFont="1" applyFill="1" applyAlignment="1">
      <alignment vertical="center"/>
    </xf>
    <xf numFmtId="0" fontId="27" fillId="0" borderId="1" xfId="5" applyFont="1" applyFill="1" applyBorder="1" applyAlignment="1">
      <alignment vertical="center" wrapText="1"/>
    </xf>
    <xf numFmtId="0" fontId="37" fillId="6" borderId="1" xfId="5" applyFont="1" applyFill="1" applyBorder="1" applyAlignment="1">
      <alignment horizontal="center" vertical="center" wrapText="1"/>
    </xf>
    <xf numFmtId="0" fontId="27" fillId="0" borderId="1" xfId="5" applyFont="1" applyFill="1" applyBorder="1" applyAlignment="1">
      <alignment horizontal="center" vertical="center" wrapText="1"/>
    </xf>
    <xf numFmtId="0" fontId="27" fillId="6" borderId="1" xfId="5" applyFont="1" applyFill="1" applyBorder="1" applyAlignment="1">
      <alignment horizontal="center" vertical="center" wrapText="1"/>
    </xf>
    <xf numFmtId="176" fontId="27" fillId="0" borderId="0" xfId="5" applyNumberFormat="1" applyFont="1" applyFill="1" applyAlignment="1">
      <alignment vertical="center" wrapText="1"/>
    </xf>
    <xf numFmtId="0" fontId="27" fillId="0" borderId="0" xfId="5" applyFont="1" applyFill="1" applyAlignment="1">
      <alignment vertical="center" wrapText="1"/>
    </xf>
    <xf numFmtId="0" fontId="22" fillId="0" borderId="1" xfId="5" applyFont="1" applyFill="1" applyBorder="1" applyAlignment="1">
      <alignment horizontal="center" vertical="center" wrapText="1"/>
    </xf>
    <xf numFmtId="0" fontId="22" fillId="6" borderId="1" xfId="5" applyFont="1" applyFill="1" applyBorder="1" applyAlignment="1">
      <alignment horizontal="center" vertical="center" wrapText="1"/>
    </xf>
    <xf numFmtId="176" fontId="22" fillId="0" borderId="1" xfId="1" applyNumberFormat="1" applyFont="1" applyFill="1" applyBorder="1" applyAlignment="1">
      <alignment horizontal="center" vertical="center" wrapText="1"/>
    </xf>
    <xf numFmtId="176" fontId="11" fillId="0" borderId="0" xfId="5" applyNumberFormat="1" applyFont="1" applyFill="1" applyAlignment="1">
      <alignment vertical="center" wrapText="1"/>
    </xf>
    <xf numFmtId="0" fontId="11" fillId="0" borderId="0" xfId="5" applyFont="1" applyFill="1" applyAlignment="1">
      <alignment vertical="center" wrapText="1"/>
    </xf>
    <xf numFmtId="0" fontId="18" fillId="0" borderId="1" xfId="5" applyFont="1" applyFill="1" applyBorder="1" applyAlignment="1">
      <alignment horizontal="center" vertical="center" wrapText="1"/>
    </xf>
    <xf numFmtId="41" fontId="18" fillId="10" borderId="1" xfId="1" applyFont="1" applyFill="1" applyBorder="1" applyAlignment="1">
      <alignment horizontal="center" vertical="center" wrapText="1"/>
    </xf>
    <xf numFmtId="0" fontId="18" fillId="6" borderId="1" xfId="5" applyFont="1" applyFill="1" applyBorder="1" applyAlignment="1">
      <alignment horizontal="center" vertical="center" wrapText="1"/>
    </xf>
    <xf numFmtId="2" fontId="18" fillId="0" borderId="1" xfId="5" applyNumberFormat="1" applyFont="1" applyFill="1" applyBorder="1" applyAlignment="1">
      <alignment horizontal="center" vertical="center" wrapText="1"/>
    </xf>
    <xf numFmtId="2" fontId="18" fillId="10" borderId="1" xfId="5" applyNumberFormat="1" applyFont="1" applyFill="1" applyBorder="1" applyAlignment="1">
      <alignment horizontal="center" vertical="center" wrapText="1"/>
    </xf>
    <xf numFmtId="2" fontId="18" fillId="0" borderId="1" xfId="1" applyNumberFormat="1" applyFont="1" applyFill="1" applyBorder="1" applyAlignment="1">
      <alignment horizontal="center" vertical="center" wrapText="1"/>
    </xf>
    <xf numFmtId="2" fontId="18" fillId="11" borderId="1" xfId="5" applyNumberFormat="1" applyFont="1" applyFill="1" applyBorder="1" applyAlignment="1">
      <alignment horizontal="center" vertical="center" wrapText="1"/>
    </xf>
    <xf numFmtId="176" fontId="11" fillId="6" borderId="0" xfId="5" applyNumberFormat="1" applyFont="1" applyFill="1" applyAlignment="1">
      <alignment vertical="center" wrapText="1"/>
    </xf>
    <xf numFmtId="0" fontId="11" fillId="6" borderId="0" xfId="5" applyFont="1" applyFill="1" applyAlignment="1">
      <alignment vertical="center" wrapText="1"/>
    </xf>
    <xf numFmtId="0" fontId="32" fillId="0" borderId="0" xfId="5" applyFont="1" applyFill="1" applyAlignment="1">
      <alignment vertical="center" wrapText="1"/>
    </xf>
    <xf numFmtId="0" fontId="32" fillId="6" borderId="0" xfId="5" applyFont="1" applyFill="1" applyAlignment="1">
      <alignment vertical="center" wrapText="1"/>
    </xf>
    <xf numFmtId="176" fontId="39" fillId="12" borderId="1" xfId="3" applyNumberFormat="1" applyFont="1" applyFill="1" applyBorder="1" applyAlignment="1">
      <alignment horizontal="right" vertical="center" wrapText="1"/>
    </xf>
    <xf numFmtId="176" fontId="40" fillId="12" borderId="14" xfId="1" applyNumberFormat="1" applyFont="1" applyFill="1" applyBorder="1" applyAlignment="1">
      <alignment horizontal="right" vertical="center" wrapText="1"/>
    </xf>
    <xf numFmtId="176" fontId="40" fillId="12" borderId="1" xfId="1" applyNumberFormat="1" applyFont="1" applyFill="1" applyBorder="1" applyAlignment="1">
      <alignment horizontal="right" vertical="center" wrapText="1"/>
    </xf>
    <xf numFmtId="41" fontId="39" fillId="12" borderId="1" xfId="1" applyFont="1" applyFill="1" applyBorder="1" applyAlignment="1">
      <alignment horizontal="right" vertical="center" wrapText="1"/>
    </xf>
    <xf numFmtId="176" fontId="40" fillId="6" borderId="1" xfId="1" applyNumberFormat="1" applyFont="1" applyFill="1" applyBorder="1" applyAlignment="1">
      <alignment horizontal="right" vertical="center" wrapText="1"/>
    </xf>
    <xf numFmtId="41" fontId="11" fillId="6" borderId="1" xfId="0" applyNumberFormat="1" applyFont="1" applyFill="1" applyBorder="1"/>
    <xf numFmtId="176" fontId="39" fillId="2" borderId="1" xfId="3" applyNumberFormat="1" applyFont="1" applyBorder="1" applyAlignment="1">
      <alignment horizontal="right" vertical="center"/>
    </xf>
    <xf numFmtId="42" fontId="0" fillId="0" borderId="1" xfId="1" applyNumberFormat="1" applyFont="1" applyFill="1" applyBorder="1" applyAlignment="1">
      <alignment vertical="center" wrapText="1"/>
    </xf>
    <xf numFmtId="41" fontId="15" fillId="0" borderId="6" xfId="1" applyFont="1" applyFill="1" applyBorder="1" applyAlignment="1">
      <alignment horizontal="left" vertical="center" wrapText="1"/>
    </xf>
    <xf numFmtId="176" fontId="13" fillId="4" borderId="1" xfId="4" applyNumberFormat="1" applyBorder="1" applyAlignment="1">
      <alignment vertical="center" wrapText="1"/>
    </xf>
    <xf numFmtId="42" fontId="0" fillId="6" borderId="1" xfId="5" applyNumberFormat="1" applyFont="1" applyFill="1" applyBorder="1" applyAlignment="1">
      <alignment vertical="center" wrapText="1"/>
    </xf>
    <xf numFmtId="42" fontId="2" fillId="6" borderId="1" xfId="5" applyNumberFormat="1" applyFill="1" applyBorder="1" applyAlignment="1">
      <alignment vertical="center" wrapText="1"/>
    </xf>
    <xf numFmtId="0" fontId="8" fillId="0" borderId="1" xfId="5" applyFont="1" applyBorder="1" applyAlignment="1">
      <alignment vertical="center" wrapText="1"/>
    </xf>
    <xf numFmtId="176" fontId="32" fillId="0" borderId="1" xfId="1" applyNumberFormat="1" applyFont="1" applyFill="1" applyBorder="1" applyAlignment="1">
      <alignment vertical="center" wrapText="1"/>
    </xf>
    <xf numFmtId="41" fontId="18" fillId="6" borderId="1" xfId="1" applyFont="1" applyFill="1" applyBorder="1" applyAlignment="1">
      <alignment horizontal="center" vertical="center" wrapText="1"/>
    </xf>
    <xf numFmtId="2" fontId="18" fillId="6" borderId="1" xfId="5" applyNumberFormat="1" applyFont="1" applyFill="1" applyBorder="1" applyAlignment="1">
      <alignment horizontal="center" vertical="center" wrapText="1"/>
    </xf>
    <xf numFmtId="2" fontId="18" fillId="6" borderId="1" xfId="1" applyNumberFormat="1" applyFont="1" applyFill="1" applyBorder="1" applyAlignment="1">
      <alignment horizontal="center" vertical="center" wrapText="1"/>
    </xf>
    <xf numFmtId="178" fontId="18" fillId="6" borderId="1" xfId="5" applyNumberFormat="1" applyFont="1" applyFill="1" applyBorder="1" applyAlignment="1">
      <alignment horizontal="center" vertical="center" wrapText="1"/>
    </xf>
    <xf numFmtId="42" fontId="19" fillId="6" borderId="1" xfId="5" applyNumberFormat="1" applyFont="1" applyFill="1" applyBorder="1" applyAlignment="1">
      <alignment horizontal="left" vertical="center" wrapText="1"/>
    </xf>
    <xf numFmtId="41" fontId="11" fillId="6" borderId="1" xfId="1" applyFont="1" applyFill="1" applyBorder="1" applyAlignment="1">
      <alignment vertical="center" wrapText="1"/>
    </xf>
    <xf numFmtId="42" fontId="2" fillId="6" borderId="1" xfId="1" applyNumberFormat="1" applyFont="1" applyFill="1" applyBorder="1" applyAlignment="1">
      <alignment horizontal="left" vertical="center" wrapText="1"/>
    </xf>
    <xf numFmtId="176" fontId="11" fillId="6" borderId="1" xfId="1" applyNumberFormat="1" applyFont="1" applyFill="1" applyBorder="1" applyAlignment="1">
      <alignment horizontal="right" vertical="center" wrapText="1"/>
    </xf>
    <xf numFmtId="0" fontId="11" fillId="6" borderId="1" xfId="5" applyFont="1" applyFill="1" applyBorder="1" applyAlignment="1">
      <alignment vertical="center" wrapText="1"/>
    </xf>
    <xf numFmtId="176" fontId="39" fillId="6" borderId="1" xfId="3" applyNumberFormat="1" applyFont="1" applyFill="1" applyBorder="1" applyAlignment="1">
      <alignment horizontal="right" vertical="center" wrapText="1"/>
    </xf>
    <xf numFmtId="41" fontId="40" fillId="6" borderId="1" xfId="0" applyNumberFormat="1" applyFont="1" applyFill="1" applyBorder="1"/>
    <xf numFmtId="3" fontId="9" fillId="0" borderId="3" xfId="0" applyNumberFormat="1" applyFont="1" applyBorder="1" applyAlignment="1">
      <alignment horizontal="center" vertical="center"/>
    </xf>
    <xf numFmtId="10" fontId="10" fillId="0" borderId="3" xfId="2" applyNumberFormat="1" applyFont="1" applyFill="1" applyBorder="1" applyAlignment="1">
      <alignment horizontal="center" vertical="center" wrapText="1"/>
    </xf>
    <xf numFmtId="176" fontId="13" fillId="4" borderId="2" xfId="4" applyNumberFormat="1" applyBorder="1" applyAlignment="1">
      <alignment horizontal="center" vertical="center" wrapText="1"/>
    </xf>
    <xf numFmtId="10" fontId="4" fillId="0" borderId="9" xfId="2" applyNumberFormat="1" applyFont="1" applyBorder="1" applyAlignment="1">
      <alignment horizontal="center" vertical="center"/>
    </xf>
    <xf numFmtId="10" fontId="10" fillId="0" borderId="2" xfId="2" applyNumberFormat="1" applyFont="1" applyFill="1" applyBorder="1" applyAlignment="1">
      <alignment horizontal="center" vertical="center" wrapText="1"/>
    </xf>
    <xf numFmtId="176" fontId="13" fillId="5" borderId="2" xfId="4" applyNumberFormat="1" applyFill="1" applyBorder="1" applyAlignment="1">
      <alignment horizontal="center" vertical="center" wrapText="1"/>
    </xf>
    <xf numFmtId="176" fontId="16" fillId="4" borderId="2" xfId="4" applyNumberFormat="1" applyFont="1" applyBorder="1" applyAlignment="1">
      <alignment horizontal="center" vertical="center" wrapText="1"/>
    </xf>
    <xf numFmtId="10" fontId="17" fillId="0" borderId="2" xfId="2" applyNumberFormat="1" applyFont="1" applyFill="1" applyBorder="1" applyAlignment="1">
      <alignment horizontal="center" vertical="center" wrapText="1"/>
    </xf>
    <xf numFmtId="41" fontId="11" fillId="7" borderId="4" xfId="0" applyNumberFormat="1" applyFont="1" applyFill="1" applyBorder="1" applyAlignment="1">
      <alignment horizontal="center" vertical="center"/>
    </xf>
    <xf numFmtId="10" fontId="10" fillId="0" borderId="4" xfId="2" applyNumberFormat="1" applyFont="1" applyFill="1" applyBorder="1" applyAlignment="1">
      <alignment horizontal="center" vertical="center" wrapText="1"/>
    </xf>
    <xf numFmtId="41" fontId="11" fillId="8" borderId="4" xfId="0" applyNumberFormat="1" applyFont="1" applyFill="1" applyBorder="1" applyAlignment="1">
      <alignment horizontal="center" vertical="center"/>
    </xf>
    <xf numFmtId="10" fontId="10" fillId="0" borderId="7" xfId="2" applyNumberFormat="1" applyFont="1" applyFill="1" applyBorder="1" applyAlignment="1">
      <alignment horizontal="center" vertical="center" wrapText="1"/>
    </xf>
    <xf numFmtId="10" fontId="10" fillId="0" borderId="1" xfId="2" applyNumberFormat="1" applyFont="1" applyFill="1" applyBorder="1" applyAlignment="1">
      <alignment horizontal="center" vertical="center" wrapText="1"/>
    </xf>
    <xf numFmtId="10" fontId="10" fillId="0" borderId="14" xfId="2" applyNumberFormat="1" applyFont="1" applyFill="1" applyBorder="1" applyAlignment="1">
      <alignment horizontal="center" vertical="center" wrapText="1"/>
    </xf>
    <xf numFmtId="41" fontId="11" fillId="8" borderId="1" xfId="0" applyNumberFormat="1" applyFont="1" applyFill="1" applyBorder="1" applyAlignment="1">
      <alignment horizontal="center" vertical="center"/>
    </xf>
    <xf numFmtId="0" fontId="18" fillId="0" borderId="14" xfId="5" applyFont="1" applyBorder="1" applyAlignment="1">
      <alignment horizontal="center" vertical="center" wrapText="1"/>
    </xf>
    <xf numFmtId="41" fontId="11" fillId="7" borderId="1" xfId="0" applyNumberFormat="1" applyFont="1" applyFill="1" applyBorder="1" applyAlignment="1">
      <alignment horizontal="center" vertical="center"/>
    </xf>
    <xf numFmtId="10" fontId="10" fillId="0" borderId="6" xfId="2" applyNumberFormat="1" applyFont="1" applyFill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 wrapText="1"/>
    </xf>
    <xf numFmtId="41" fontId="18" fillId="9" borderId="1" xfId="0" applyNumberFormat="1" applyFont="1" applyFill="1" applyBorder="1" applyAlignment="1">
      <alignment horizontal="center" vertical="center"/>
    </xf>
    <xf numFmtId="10" fontId="17" fillId="0" borderId="1" xfId="2" applyNumberFormat="1" applyFont="1" applyFill="1" applyBorder="1" applyAlignment="1">
      <alignment horizontal="center" vertical="center" wrapText="1"/>
    </xf>
    <xf numFmtId="41" fontId="18" fillId="8" borderId="1" xfId="0" applyNumberFormat="1" applyFont="1" applyFill="1" applyBorder="1" applyAlignment="1">
      <alignment horizontal="center" vertical="center"/>
    </xf>
    <xf numFmtId="176" fontId="24" fillId="2" borderId="1" xfId="3" applyNumberFormat="1" applyBorder="1" applyAlignment="1">
      <alignment horizontal="center" vertical="center" wrapText="1"/>
    </xf>
    <xf numFmtId="41" fontId="11" fillId="6" borderId="1" xfId="0" applyNumberFormat="1" applyFont="1" applyFill="1" applyBorder="1" applyAlignment="1">
      <alignment horizontal="center" vertical="center"/>
    </xf>
    <xf numFmtId="0" fontId="22" fillId="0" borderId="1" xfId="5" applyFont="1" applyBorder="1" applyAlignment="1">
      <alignment horizontal="center" vertical="center" wrapText="1"/>
    </xf>
    <xf numFmtId="177" fontId="20" fillId="0" borderId="1" xfId="5" applyNumberFormat="1" applyFont="1" applyBorder="1" applyAlignment="1">
      <alignment horizontal="center" vertical="center" wrapText="1"/>
    </xf>
    <xf numFmtId="176" fontId="30" fillId="8" borderId="1" xfId="5" applyNumberFormat="1" applyFont="1" applyFill="1" applyBorder="1" applyAlignment="1">
      <alignment horizontal="center" vertical="center" wrapText="1"/>
    </xf>
    <xf numFmtId="41" fontId="11" fillId="8" borderId="1" xfId="0" applyNumberFormat="1" applyFont="1" applyFill="1" applyBorder="1" applyAlignment="1">
      <alignment horizontal="right" vertical="center"/>
    </xf>
    <xf numFmtId="41" fontId="11" fillId="0" borderId="1" xfId="1" applyFont="1" applyBorder="1" applyAlignment="1">
      <alignment horizontal="right" vertical="center" wrapText="1"/>
    </xf>
    <xf numFmtId="41" fontId="11" fillId="13" borderId="4" xfId="0" applyNumberFormat="1" applyFont="1" applyFill="1" applyBorder="1"/>
    <xf numFmtId="41" fontId="11" fillId="13" borderId="1" xfId="0" applyNumberFormat="1" applyFont="1" applyFill="1" applyBorder="1"/>
    <xf numFmtId="41" fontId="11" fillId="11" borderId="1" xfId="0" applyNumberFormat="1" applyFont="1" applyFill="1" applyBorder="1"/>
    <xf numFmtId="41" fontId="39" fillId="6" borderId="1" xfId="1" applyFont="1" applyFill="1" applyBorder="1" applyAlignment="1">
      <alignment horizontal="right" vertical="center" wrapText="1"/>
    </xf>
    <xf numFmtId="41" fontId="12" fillId="0" borderId="2" xfId="1" applyFont="1" applyFill="1" applyBorder="1" applyAlignment="1">
      <alignment horizontal="left" vertical="center" wrapText="1"/>
    </xf>
    <xf numFmtId="41" fontId="2" fillId="6" borderId="4" xfId="1" applyFont="1" applyFill="1" applyBorder="1" applyAlignment="1">
      <alignment horizontal="left" vertical="center" wrapText="1"/>
    </xf>
    <xf numFmtId="41" fontId="2" fillId="6" borderId="1" xfId="1" applyFont="1" applyFill="1" applyBorder="1" applyAlignment="1">
      <alignment horizontal="left" vertical="center" wrapText="1"/>
    </xf>
    <xf numFmtId="0" fontId="33" fillId="0" borderId="0" xfId="5" applyFont="1" applyAlignment="1">
      <alignment horizontal="left" vertical="center" wrapText="1"/>
    </xf>
    <xf numFmtId="0" fontId="35" fillId="0" borderId="0" xfId="5" applyFont="1" applyAlignment="1">
      <alignment horizontal="left" vertical="center" wrapText="1"/>
    </xf>
    <xf numFmtId="0" fontId="32" fillId="0" borderId="0" xfId="5" applyFont="1" applyAlignment="1">
      <alignment horizontal="left" vertical="center" wrapText="1"/>
    </xf>
    <xf numFmtId="41" fontId="8" fillId="0" borderId="3" xfId="1" applyFont="1" applyFill="1" applyBorder="1" applyAlignment="1">
      <alignment horizontal="left" vertical="center" wrapText="1"/>
    </xf>
    <xf numFmtId="41" fontId="12" fillId="0" borderId="10" xfId="1" applyFont="1" applyFill="1" applyBorder="1" applyAlignment="1">
      <alignment horizontal="left" vertical="center" wrapText="1"/>
    </xf>
    <xf numFmtId="42" fontId="0" fillId="6" borderId="8" xfId="5" applyNumberFormat="1" applyFont="1" applyFill="1" applyBorder="1" applyAlignment="1">
      <alignment horizontal="left" vertical="center" wrapText="1"/>
    </xf>
    <xf numFmtId="42" fontId="0" fillId="6" borderId="5" xfId="5" applyNumberFormat="1" applyFont="1" applyFill="1" applyBorder="1" applyAlignment="1">
      <alignment horizontal="left" vertical="center" wrapText="1"/>
    </xf>
    <xf numFmtId="42" fontId="2" fillId="6" borderId="5" xfId="5" applyNumberFormat="1" applyFill="1" applyBorder="1" applyAlignment="1">
      <alignment horizontal="left" vertical="center" wrapText="1"/>
    </xf>
    <xf numFmtId="176" fontId="33" fillId="0" borderId="0" xfId="1" applyNumberFormat="1" applyFont="1" applyFill="1" applyAlignment="1">
      <alignment horizontal="left" vertical="center" wrapText="1"/>
    </xf>
    <xf numFmtId="42" fontId="0" fillId="6" borderId="1" xfId="1" applyNumberFormat="1" applyFont="1" applyFill="1" applyBorder="1" applyAlignment="1">
      <alignment horizontal="left" vertical="center" wrapText="1"/>
    </xf>
    <xf numFmtId="42" fontId="0" fillId="0" borderId="14" xfId="1" applyNumberFormat="1" applyFont="1" applyFill="1" applyBorder="1" applyAlignment="1">
      <alignment horizontal="left" vertical="center" wrapText="1"/>
    </xf>
    <xf numFmtId="0" fontId="31" fillId="0" borderId="0" xfId="5" applyFont="1" applyAlignment="1">
      <alignment horizontal="left" vertical="center" wrapText="1"/>
    </xf>
    <xf numFmtId="0" fontId="34" fillId="0" borderId="0" xfId="5" applyFont="1" applyFill="1" applyAlignment="1">
      <alignment horizontal="left" vertical="center" wrapText="1"/>
    </xf>
    <xf numFmtId="0" fontId="36" fillId="0" borderId="0" xfId="5" applyFont="1" applyFill="1" applyAlignment="1">
      <alignment horizontal="left" vertical="center" wrapText="1"/>
    </xf>
    <xf numFmtId="0" fontId="34" fillId="0" borderId="0" xfId="5" applyFont="1" applyAlignment="1">
      <alignment horizontal="left" vertical="center" wrapText="1"/>
    </xf>
    <xf numFmtId="10" fontId="10" fillId="0" borderId="1" xfId="2" applyNumberFormat="1" applyFont="1" applyFill="1" applyBorder="1" applyAlignment="1">
      <alignment horizontal="left" vertical="center" wrapText="1"/>
    </xf>
    <xf numFmtId="0" fontId="36" fillId="0" borderId="0" xfId="5" applyFont="1" applyAlignment="1">
      <alignment horizontal="left" vertical="center" wrapText="1"/>
    </xf>
    <xf numFmtId="176" fontId="39" fillId="6" borderId="1" xfId="3" applyNumberFormat="1" applyFont="1" applyFill="1" applyBorder="1" applyAlignment="1">
      <alignment horizontal="right" vertical="center"/>
    </xf>
    <xf numFmtId="176" fontId="43" fillId="6" borderId="1" xfId="5" applyNumberFormat="1" applyFont="1" applyFill="1" applyBorder="1" applyAlignment="1">
      <alignment vertical="center" wrapText="1"/>
    </xf>
    <xf numFmtId="0" fontId="0" fillId="6" borderId="1" xfId="5" applyFont="1" applyFill="1" applyBorder="1" applyAlignment="1">
      <alignment horizontal="left" vertical="center" wrapText="1"/>
    </xf>
    <xf numFmtId="0" fontId="44" fillId="6" borderId="1" xfId="5" applyFont="1" applyFill="1" applyBorder="1" applyAlignment="1">
      <alignment vertical="center" wrapText="1"/>
    </xf>
    <xf numFmtId="41" fontId="38" fillId="0" borderId="1" xfId="1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/>
    </xf>
    <xf numFmtId="0" fontId="41" fillId="0" borderId="0" xfId="5" applyFont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11" fillId="0" borderId="11" xfId="5" applyFont="1" applyBorder="1" applyAlignment="1">
      <alignment horizontal="center" vertical="center"/>
    </xf>
    <xf numFmtId="0" fontId="11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46" fillId="0" borderId="11" xfId="5" applyFont="1" applyBorder="1" applyAlignment="1">
      <alignment horizontal="center" vertical="center" wrapText="1"/>
    </xf>
    <xf numFmtId="0" fontId="44" fillId="0" borderId="11" xfId="5" applyFont="1" applyBorder="1" applyAlignment="1">
      <alignment horizontal="center" vertical="center"/>
    </xf>
  </cellXfs>
  <cellStyles count="6">
    <cellStyle name="20% - 강조색5" xfId="3" builtinId="46"/>
    <cellStyle name="강조색6" xfId="4" builtinId="49"/>
    <cellStyle name="백분율" xfId="2" builtinId="5"/>
    <cellStyle name="쉼표 [0]" xfId="1" builtinId="6"/>
    <cellStyle name="표준" xfId="0" builtinId="0"/>
    <cellStyle name="표준_2006 P&amp;L Plan_11 New Format 11Nov 15_KO00 Company Final US Forma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2296-D9DC-49FC-A8C8-BC4470160724}">
  <dimension ref="A2:AB20"/>
  <sheetViews>
    <sheetView zoomScaleNormal="100" workbookViewId="0">
      <selection activeCell="B12" sqref="B12"/>
    </sheetView>
  </sheetViews>
  <sheetFormatPr defaultColWidth="8.75" defaultRowHeight="14" x14ac:dyDescent="0.25"/>
  <cols>
    <col min="1" max="1" width="11.5" style="128" customWidth="1"/>
    <col min="2" max="2" width="14.08203125" style="137" customWidth="1"/>
    <col min="3" max="3" width="11.4140625" style="137" customWidth="1"/>
    <col min="4" max="4" width="9.33203125" style="138" customWidth="1"/>
    <col min="5" max="5" width="10.58203125" style="138" customWidth="1"/>
    <col min="6" max="6" width="15.4140625" style="139" customWidth="1"/>
    <col min="7" max="7" width="9.75" style="32" customWidth="1"/>
    <col min="8" max="8" width="10.83203125" style="138" customWidth="1"/>
    <col min="9" max="9" width="17.9140625" style="139" customWidth="1"/>
    <col min="10" max="12" width="8.58203125" style="139" bestFit="1" customWidth="1"/>
    <col min="13" max="13" width="17.9140625" style="139" customWidth="1"/>
    <col min="14" max="15" width="8.58203125" style="139" bestFit="1" customWidth="1"/>
    <col min="16" max="16" width="10.4140625" style="138" customWidth="1"/>
    <col min="17" max="17" width="9.5" style="137" bestFit="1" customWidth="1"/>
    <col min="18" max="18" width="17.08203125" style="137" customWidth="1"/>
    <col min="19" max="19" width="10.25" style="137" customWidth="1"/>
    <col min="20" max="20" width="13.58203125" style="127" customWidth="1"/>
    <col min="21" max="21" width="13" style="128" customWidth="1"/>
    <col min="22" max="22" width="24.4140625" style="128" customWidth="1"/>
    <col min="23" max="23" width="15.25" style="128" customWidth="1"/>
    <col min="24" max="24" width="10.58203125" style="128" customWidth="1"/>
    <col min="25" max="25" width="25.6640625" style="128" customWidth="1"/>
    <col min="26" max="26" width="18" style="128" customWidth="1"/>
    <col min="27" max="27" width="8.75" style="128"/>
    <col min="28" max="28" width="16.6640625" style="128" customWidth="1"/>
    <col min="29" max="16384" width="8.75" style="128"/>
  </cols>
  <sheetData>
    <row r="2" spans="1:28" s="117" customFormat="1" ht="34.5" customHeight="1" x14ac:dyDescent="0.25">
      <c r="A2" s="223" t="s">
        <v>139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116"/>
    </row>
    <row r="3" spans="1:28" s="123" customFormat="1" ht="18" customHeight="1" x14ac:dyDescent="0.25">
      <c r="A3" s="118"/>
      <c r="B3" s="119"/>
      <c r="C3" s="119"/>
      <c r="D3" s="120" t="s">
        <v>76</v>
      </c>
      <c r="E3" s="120" t="s">
        <v>76</v>
      </c>
      <c r="F3" s="121" t="s">
        <v>76</v>
      </c>
      <c r="G3" s="120" t="s">
        <v>76</v>
      </c>
      <c r="H3" s="120" t="s">
        <v>76</v>
      </c>
      <c r="I3" s="121" t="s">
        <v>76</v>
      </c>
      <c r="J3" s="120" t="s">
        <v>76</v>
      </c>
      <c r="K3" s="120" t="s">
        <v>76</v>
      </c>
      <c r="L3" s="120" t="s">
        <v>76</v>
      </c>
      <c r="M3" s="121" t="s">
        <v>76</v>
      </c>
      <c r="N3" s="120" t="s">
        <v>76</v>
      </c>
      <c r="O3" s="121" t="s">
        <v>76</v>
      </c>
      <c r="P3" s="120" t="s">
        <v>76</v>
      </c>
      <c r="Q3" s="121" t="s">
        <v>76</v>
      </c>
      <c r="R3" s="119" t="s">
        <v>77</v>
      </c>
      <c r="S3" s="121" t="s">
        <v>76</v>
      </c>
      <c r="T3" s="122"/>
    </row>
    <row r="4" spans="1:28" ht="15" x14ac:dyDescent="0.25">
      <c r="A4" s="124" t="s">
        <v>78</v>
      </c>
      <c r="B4" s="125" t="s">
        <v>0</v>
      </c>
      <c r="C4" s="125" t="s">
        <v>79</v>
      </c>
      <c r="D4" s="124" t="s">
        <v>1</v>
      </c>
      <c r="E4" s="124" t="s">
        <v>80</v>
      </c>
      <c r="F4" s="125" t="s">
        <v>81</v>
      </c>
      <c r="G4" s="126" t="s">
        <v>82</v>
      </c>
      <c r="H4" s="124" t="s">
        <v>83</v>
      </c>
      <c r="I4" s="125" t="s">
        <v>84</v>
      </c>
      <c r="J4" s="124" t="s">
        <v>85</v>
      </c>
      <c r="K4" s="124" t="s">
        <v>86</v>
      </c>
      <c r="L4" s="124" t="s">
        <v>87</v>
      </c>
      <c r="M4" s="125" t="s">
        <v>88</v>
      </c>
      <c r="N4" s="124" t="s">
        <v>138</v>
      </c>
      <c r="O4" s="125" t="s">
        <v>138</v>
      </c>
      <c r="P4" s="124" t="s">
        <v>140</v>
      </c>
      <c r="Q4" s="125" t="s">
        <v>140</v>
      </c>
      <c r="R4" s="125" t="s">
        <v>89</v>
      </c>
      <c r="S4" s="125" t="s">
        <v>90</v>
      </c>
    </row>
    <row r="5" spans="1:28" ht="17.5" x14ac:dyDescent="0.25">
      <c r="A5" s="129" t="s">
        <v>91</v>
      </c>
      <c r="B5" s="130">
        <v>90235000</v>
      </c>
      <c r="C5" s="131">
        <v>100</v>
      </c>
      <c r="D5" s="132">
        <v>32.58</v>
      </c>
      <c r="E5" s="132">
        <v>27.01</v>
      </c>
      <c r="F5" s="133">
        <f t="shared" ref="F5:F20" si="0">D5+E5</f>
        <v>59.59</v>
      </c>
      <c r="G5" s="134">
        <v>6.1</v>
      </c>
      <c r="H5" s="132">
        <v>7.03</v>
      </c>
      <c r="I5" s="133">
        <f t="shared" ref="I5:I20" si="1">G5+H5</f>
        <v>13.129999999999999</v>
      </c>
      <c r="J5" s="132">
        <v>5</v>
      </c>
      <c r="K5" s="132">
        <v>5.4</v>
      </c>
      <c r="L5" s="132">
        <f>0.18+0.1+0.02+0.49</f>
        <v>0.79</v>
      </c>
      <c r="M5" s="133">
        <f t="shared" ref="M5:M20" si="2">J5+K5+L5</f>
        <v>11.190000000000001</v>
      </c>
      <c r="N5" s="132">
        <v>6.55</v>
      </c>
      <c r="O5" s="133">
        <f>N5</f>
        <v>6.55</v>
      </c>
      <c r="P5" s="132"/>
      <c r="Q5" s="133">
        <f>P5</f>
        <v>0</v>
      </c>
      <c r="R5" s="154">
        <v>8614354</v>
      </c>
      <c r="S5" s="135">
        <f>C5-F5-I5-Q5-O5-M5</f>
        <v>9.5399999999999956</v>
      </c>
    </row>
    <row r="6" spans="1:28" s="137" customFormat="1" ht="17.5" x14ac:dyDescent="0.25">
      <c r="A6" s="131" t="s">
        <v>92</v>
      </c>
      <c r="B6" s="130">
        <v>105837000</v>
      </c>
      <c r="C6" s="131">
        <v>100</v>
      </c>
      <c r="D6" s="155">
        <v>34.909999999999997</v>
      </c>
      <c r="E6" s="155">
        <v>24.4</v>
      </c>
      <c r="F6" s="133">
        <f t="shared" si="0"/>
        <v>59.309999999999995</v>
      </c>
      <c r="G6" s="156">
        <v>5.2</v>
      </c>
      <c r="H6" s="155">
        <v>6.03</v>
      </c>
      <c r="I6" s="133">
        <f t="shared" si="1"/>
        <v>11.23</v>
      </c>
      <c r="J6" s="155">
        <v>5</v>
      </c>
      <c r="K6" s="155">
        <v>4.88</v>
      </c>
      <c r="L6" s="155">
        <f>0.16+0.09+0.02+0.44</f>
        <v>0.71</v>
      </c>
      <c r="M6" s="133">
        <f t="shared" si="2"/>
        <v>10.59</v>
      </c>
      <c r="N6" s="155">
        <v>2.54</v>
      </c>
      <c r="O6" s="133">
        <f t="shared" ref="O6:Q20" si="3">N6</f>
        <v>2.54</v>
      </c>
      <c r="P6" s="155">
        <v>1.87</v>
      </c>
      <c r="Q6" s="133">
        <f t="shared" si="3"/>
        <v>1.87</v>
      </c>
      <c r="R6" s="154">
        <v>14626960</v>
      </c>
      <c r="S6" s="135">
        <f t="shared" ref="S6:S20" si="4">C6-F6-I6-Q6-O6-M6</f>
        <v>14.460000000000004</v>
      </c>
      <c r="T6" s="136"/>
    </row>
    <row r="7" spans="1:28" ht="17.5" x14ac:dyDescent="0.25">
      <c r="A7" s="129" t="s">
        <v>93</v>
      </c>
      <c r="B7" s="130">
        <v>104003000</v>
      </c>
      <c r="C7" s="131">
        <v>100</v>
      </c>
      <c r="D7" s="132">
        <v>34.950000000000003</v>
      </c>
      <c r="E7" s="132">
        <v>26.04</v>
      </c>
      <c r="F7" s="133">
        <f t="shared" si="0"/>
        <v>60.99</v>
      </c>
      <c r="G7" s="134">
        <v>5.29</v>
      </c>
      <c r="H7" s="132">
        <f>12.06-5.29</f>
        <v>6.7700000000000005</v>
      </c>
      <c r="I7" s="133">
        <f t="shared" si="1"/>
        <v>12.06</v>
      </c>
      <c r="J7" s="132">
        <v>5</v>
      </c>
      <c r="K7" s="132">
        <v>4.95</v>
      </c>
      <c r="L7" s="132">
        <f>10.83-5-4.95</f>
        <v>0.87999999999999989</v>
      </c>
      <c r="M7" s="133">
        <f t="shared" si="2"/>
        <v>10.829999999999998</v>
      </c>
      <c r="N7" s="132">
        <v>3.63</v>
      </c>
      <c r="O7" s="133">
        <f t="shared" si="3"/>
        <v>3.63</v>
      </c>
      <c r="P7" s="132">
        <v>0.13</v>
      </c>
      <c r="Q7" s="133">
        <f t="shared" si="3"/>
        <v>0.13</v>
      </c>
      <c r="R7" s="154">
        <v>11178511</v>
      </c>
      <c r="S7" s="135">
        <v>10.75</v>
      </c>
    </row>
    <row r="8" spans="1:28" ht="17.5" x14ac:dyDescent="0.25">
      <c r="A8" s="129" t="s">
        <v>155</v>
      </c>
      <c r="B8" s="130">
        <v>94337500</v>
      </c>
      <c r="C8" s="131">
        <v>100</v>
      </c>
      <c r="D8" s="132">
        <v>36.61</v>
      </c>
      <c r="E8" s="132">
        <v>25.98</v>
      </c>
      <c r="F8" s="133">
        <f t="shared" si="0"/>
        <v>62.59</v>
      </c>
      <c r="G8" s="134">
        <v>5.83</v>
      </c>
      <c r="H8" s="132">
        <f>13.47-5.83</f>
        <v>7.6400000000000006</v>
      </c>
      <c r="I8" s="133">
        <f t="shared" si="1"/>
        <v>13.47</v>
      </c>
      <c r="J8" s="155">
        <v>5</v>
      </c>
      <c r="K8" s="155">
        <v>4.76</v>
      </c>
      <c r="L8" s="155">
        <f>10.67-5-4.76</f>
        <v>0.91000000000000014</v>
      </c>
      <c r="M8" s="133">
        <f t="shared" si="2"/>
        <v>10.67</v>
      </c>
      <c r="N8" s="132">
        <v>4.95</v>
      </c>
      <c r="O8" s="133">
        <f t="shared" si="3"/>
        <v>4.95</v>
      </c>
      <c r="P8" s="132">
        <v>0.13</v>
      </c>
      <c r="Q8" s="133">
        <f t="shared" si="3"/>
        <v>0.13</v>
      </c>
      <c r="R8" s="154">
        <v>6032765</v>
      </c>
      <c r="S8" s="135">
        <v>6.39</v>
      </c>
    </row>
    <row r="9" spans="1:28" ht="17.5" x14ac:dyDescent="0.25">
      <c r="A9" s="129" t="s">
        <v>163</v>
      </c>
      <c r="B9" s="130">
        <v>119006000</v>
      </c>
      <c r="C9" s="131">
        <v>100</v>
      </c>
      <c r="D9" s="132">
        <v>35.6</v>
      </c>
      <c r="E9" s="132">
        <v>27.51</v>
      </c>
      <c r="F9" s="133">
        <f t="shared" si="0"/>
        <v>63.11</v>
      </c>
      <c r="G9" s="134">
        <v>4.62</v>
      </c>
      <c r="H9" s="132">
        <f>11.26-4.62</f>
        <v>6.64</v>
      </c>
      <c r="I9" s="133">
        <f t="shared" si="1"/>
        <v>11.26</v>
      </c>
      <c r="J9" s="155">
        <v>5</v>
      </c>
      <c r="K9" s="155">
        <v>5.5</v>
      </c>
      <c r="L9" s="155">
        <f>12.53-5-5.5</f>
        <v>2.0299999999999994</v>
      </c>
      <c r="M9" s="133">
        <f t="shared" si="2"/>
        <v>12.53</v>
      </c>
      <c r="N9" s="132">
        <v>3.85</v>
      </c>
      <c r="O9" s="133">
        <f t="shared" si="3"/>
        <v>3.85</v>
      </c>
      <c r="P9" s="132">
        <v>0.11</v>
      </c>
      <c r="Q9" s="133">
        <f t="shared" si="3"/>
        <v>0.11</v>
      </c>
      <c r="R9" s="154">
        <v>10868335</v>
      </c>
      <c r="S9" s="135">
        <v>9.1300000000000008</v>
      </c>
    </row>
    <row r="10" spans="1:28" ht="17.5" x14ac:dyDescent="0.25">
      <c r="A10" s="129" t="s">
        <v>167</v>
      </c>
      <c r="B10" s="130">
        <v>103189500</v>
      </c>
      <c r="C10" s="131">
        <v>100</v>
      </c>
      <c r="D10" s="132">
        <v>35.5</v>
      </c>
      <c r="E10" s="132">
        <v>28.21</v>
      </c>
      <c r="F10" s="133">
        <f t="shared" si="0"/>
        <v>63.71</v>
      </c>
      <c r="G10" s="134">
        <v>5.33</v>
      </c>
      <c r="H10" s="132">
        <f>11.29-5.33</f>
        <v>5.9599999999999991</v>
      </c>
      <c r="I10" s="133">
        <f t="shared" si="1"/>
        <v>11.29</v>
      </c>
      <c r="J10" s="155">
        <v>5</v>
      </c>
      <c r="K10" s="155">
        <v>2.7</v>
      </c>
      <c r="L10" s="155">
        <f>8.47-5-2.7</f>
        <v>0.77000000000000046</v>
      </c>
      <c r="M10" s="133">
        <f t="shared" si="2"/>
        <v>8.4700000000000006</v>
      </c>
      <c r="N10" s="132">
        <v>10.14</v>
      </c>
      <c r="O10" s="133">
        <f t="shared" si="3"/>
        <v>10.14</v>
      </c>
      <c r="P10" s="132">
        <v>0.12</v>
      </c>
      <c r="Q10" s="133">
        <f t="shared" si="3"/>
        <v>0.12</v>
      </c>
      <c r="R10" s="154">
        <v>6464880</v>
      </c>
      <c r="S10" s="135">
        <v>6.27</v>
      </c>
    </row>
    <row r="11" spans="1:28" ht="17.5" x14ac:dyDescent="0.25">
      <c r="A11" s="129" t="s">
        <v>176</v>
      </c>
      <c r="B11" s="130">
        <v>110983500</v>
      </c>
      <c r="C11" s="131">
        <v>100</v>
      </c>
      <c r="D11" s="132">
        <v>36.07</v>
      </c>
      <c r="E11" s="132">
        <v>28.37</v>
      </c>
      <c r="F11" s="133">
        <f t="shared" si="0"/>
        <v>64.44</v>
      </c>
      <c r="G11" s="134">
        <v>4.96</v>
      </c>
      <c r="H11" s="132">
        <f>11.07-4.96</f>
        <v>6.11</v>
      </c>
      <c r="I11" s="133">
        <f t="shared" si="1"/>
        <v>11.07</v>
      </c>
      <c r="J11" s="155">
        <v>5</v>
      </c>
      <c r="K11" s="155">
        <v>2.04</v>
      </c>
      <c r="L11" s="155">
        <f>9.62-5-2.04</f>
        <v>2.5799999999999992</v>
      </c>
      <c r="M11" s="133">
        <f t="shared" si="2"/>
        <v>9.6199999999999992</v>
      </c>
      <c r="N11" s="132">
        <v>3.55</v>
      </c>
      <c r="O11" s="133">
        <f t="shared" si="3"/>
        <v>3.55</v>
      </c>
      <c r="P11" s="132">
        <v>0.12</v>
      </c>
      <c r="Q11" s="133">
        <f t="shared" si="3"/>
        <v>0.12</v>
      </c>
      <c r="R11" s="154">
        <v>12424361</v>
      </c>
      <c r="S11" s="135">
        <f t="shared" si="4"/>
        <v>11.200000000000001</v>
      </c>
    </row>
    <row r="12" spans="1:28" ht="17.5" x14ac:dyDescent="0.25">
      <c r="A12" s="129" t="s">
        <v>190</v>
      </c>
      <c r="B12" s="130"/>
      <c r="C12" s="131">
        <v>100</v>
      </c>
      <c r="D12" s="132"/>
      <c r="E12" s="132"/>
      <c r="F12" s="133">
        <f t="shared" si="0"/>
        <v>0</v>
      </c>
      <c r="G12" s="134"/>
      <c r="H12" s="132"/>
      <c r="I12" s="133">
        <f t="shared" si="1"/>
        <v>0</v>
      </c>
      <c r="J12" s="155"/>
      <c r="K12" s="155"/>
      <c r="L12" s="155"/>
      <c r="M12" s="133">
        <f t="shared" si="2"/>
        <v>0</v>
      </c>
      <c r="N12" s="132"/>
      <c r="O12" s="133">
        <f t="shared" si="3"/>
        <v>0</v>
      </c>
      <c r="P12" s="132"/>
      <c r="Q12" s="133">
        <f t="shared" si="3"/>
        <v>0</v>
      </c>
      <c r="R12" s="154"/>
      <c r="S12" s="135">
        <f t="shared" si="4"/>
        <v>100</v>
      </c>
    </row>
    <row r="13" spans="1:28" ht="15.5" x14ac:dyDescent="0.25">
      <c r="A13" s="129"/>
      <c r="B13" s="130"/>
      <c r="C13" s="131">
        <v>100</v>
      </c>
      <c r="D13" s="132"/>
      <c r="E13" s="132"/>
      <c r="F13" s="133">
        <f t="shared" si="0"/>
        <v>0</v>
      </c>
      <c r="G13" s="134"/>
      <c r="H13" s="132"/>
      <c r="I13" s="133">
        <f t="shared" si="1"/>
        <v>0</v>
      </c>
      <c r="J13" s="155"/>
      <c r="K13" s="155"/>
      <c r="L13" s="155"/>
      <c r="M13" s="133">
        <f t="shared" si="2"/>
        <v>0</v>
      </c>
      <c r="N13" s="132"/>
      <c r="O13" s="133">
        <f t="shared" si="3"/>
        <v>0</v>
      </c>
      <c r="P13" s="132"/>
      <c r="Q13" s="133">
        <f t="shared" si="3"/>
        <v>0</v>
      </c>
      <c r="R13" s="157"/>
      <c r="S13" s="135">
        <f t="shared" si="4"/>
        <v>100</v>
      </c>
    </row>
    <row r="14" spans="1:28" ht="15.5" x14ac:dyDescent="0.25">
      <c r="A14" s="129"/>
      <c r="B14" s="130"/>
      <c r="C14" s="131">
        <v>100</v>
      </c>
      <c r="D14" s="132"/>
      <c r="E14" s="132"/>
      <c r="F14" s="133">
        <f t="shared" si="0"/>
        <v>0</v>
      </c>
      <c r="G14" s="134"/>
      <c r="H14" s="132"/>
      <c r="I14" s="133">
        <f t="shared" si="1"/>
        <v>0</v>
      </c>
      <c r="J14" s="155"/>
      <c r="K14" s="155"/>
      <c r="L14" s="155"/>
      <c r="M14" s="133">
        <f t="shared" si="2"/>
        <v>0</v>
      </c>
      <c r="N14" s="132"/>
      <c r="O14" s="133">
        <f t="shared" si="3"/>
        <v>0</v>
      </c>
      <c r="P14" s="132"/>
      <c r="Q14" s="133">
        <f t="shared" si="3"/>
        <v>0</v>
      </c>
      <c r="R14" s="157"/>
      <c r="S14" s="135">
        <f t="shared" si="4"/>
        <v>100</v>
      </c>
    </row>
    <row r="15" spans="1:28" s="127" customFormat="1" ht="15.5" x14ac:dyDescent="0.25">
      <c r="A15" s="129"/>
      <c r="B15" s="130"/>
      <c r="C15" s="131">
        <v>100</v>
      </c>
      <c r="D15" s="132"/>
      <c r="E15" s="132"/>
      <c r="F15" s="133">
        <f t="shared" si="0"/>
        <v>0</v>
      </c>
      <c r="G15" s="134"/>
      <c r="H15" s="132"/>
      <c r="I15" s="133">
        <f t="shared" si="1"/>
        <v>0</v>
      </c>
      <c r="J15" s="155"/>
      <c r="K15" s="155"/>
      <c r="L15" s="155"/>
      <c r="M15" s="133">
        <f t="shared" si="2"/>
        <v>0</v>
      </c>
      <c r="N15" s="132"/>
      <c r="O15" s="133">
        <f t="shared" si="3"/>
        <v>0</v>
      </c>
      <c r="P15" s="132"/>
      <c r="Q15" s="133">
        <f t="shared" si="3"/>
        <v>0</v>
      </c>
      <c r="R15" s="155"/>
      <c r="S15" s="135">
        <f t="shared" si="4"/>
        <v>100</v>
      </c>
      <c r="U15" s="128"/>
      <c r="V15" s="128"/>
      <c r="W15" s="128"/>
      <c r="X15" s="128"/>
      <c r="Y15" s="128"/>
      <c r="Z15" s="128"/>
      <c r="AA15" s="128"/>
      <c r="AB15" s="128"/>
    </row>
    <row r="16" spans="1:28" s="127" customFormat="1" ht="15.5" x14ac:dyDescent="0.25">
      <c r="A16" s="129"/>
      <c r="B16" s="130"/>
      <c r="C16" s="131">
        <v>100</v>
      </c>
      <c r="D16" s="132"/>
      <c r="E16" s="132"/>
      <c r="F16" s="133">
        <f t="shared" si="0"/>
        <v>0</v>
      </c>
      <c r="G16" s="134"/>
      <c r="H16" s="132"/>
      <c r="I16" s="133">
        <f t="shared" si="1"/>
        <v>0</v>
      </c>
      <c r="J16" s="155"/>
      <c r="K16" s="155"/>
      <c r="L16" s="155"/>
      <c r="M16" s="133">
        <f t="shared" si="2"/>
        <v>0</v>
      </c>
      <c r="N16" s="132"/>
      <c r="O16" s="133">
        <f t="shared" si="3"/>
        <v>0</v>
      </c>
      <c r="P16" s="132"/>
      <c r="Q16" s="133">
        <f t="shared" si="3"/>
        <v>0</v>
      </c>
      <c r="R16" s="155"/>
      <c r="S16" s="135">
        <f t="shared" si="4"/>
        <v>100</v>
      </c>
      <c r="U16" s="128"/>
      <c r="V16" s="128"/>
      <c r="W16" s="128"/>
      <c r="X16" s="128"/>
      <c r="Y16" s="128"/>
      <c r="Z16" s="128"/>
      <c r="AA16" s="128"/>
      <c r="AB16" s="128"/>
    </row>
    <row r="17" spans="1:28" s="127" customFormat="1" ht="15.5" x14ac:dyDescent="0.25">
      <c r="A17" s="129"/>
      <c r="B17" s="130"/>
      <c r="C17" s="131">
        <v>100</v>
      </c>
      <c r="D17" s="132"/>
      <c r="E17" s="132"/>
      <c r="F17" s="133">
        <f t="shared" si="0"/>
        <v>0</v>
      </c>
      <c r="G17" s="134"/>
      <c r="H17" s="132"/>
      <c r="I17" s="133">
        <f t="shared" si="1"/>
        <v>0</v>
      </c>
      <c r="J17" s="155"/>
      <c r="K17" s="155"/>
      <c r="L17" s="155"/>
      <c r="M17" s="133">
        <f t="shared" si="2"/>
        <v>0</v>
      </c>
      <c r="N17" s="132"/>
      <c r="O17" s="133">
        <f t="shared" si="3"/>
        <v>0</v>
      </c>
      <c r="P17" s="132"/>
      <c r="Q17" s="133">
        <f t="shared" si="3"/>
        <v>0</v>
      </c>
      <c r="R17" s="155"/>
      <c r="S17" s="135">
        <f t="shared" si="4"/>
        <v>100</v>
      </c>
      <c r="U17" s="128"/>
      <c r="V17" s="128"/>
      <c r="W17" s="128"/>
      <c r="X17" s="128"/>
      <c r="Y17" s="128"/>
      <c r="Z17" s="128"/>
      <c r="AA17" s="128"/>
      <c r="AB17" s="128"/>
    </row>
    <row r="18" spans="1:28" s="127" customFormat="1" ht="15.5" x14ac:dyDescent="0.25">
      <c r="A18" s="129"/>
      <c r="B18" s="130"/>
      <c r="C18" s="131">
        <v>100</v>
      </c>
      <c r="D18" s="132"/>
      <c r="E18" s="132"/>
      <c r="F18" s="133">
        <f t="shared" si="0"/>
        <v>0</v>
      </c>
      <c r="G18" s="134"/>
      <c r="H18" s="132"/>
      <c r="I18" s="133">
        <f t="shared" si="1"/>
        <v>0</v>
      </c>
      <c r="J18" s="155"/>
      <c r="K18" s="155"/>
      <c r="L18" s="155"/>
      <c r="M18" s="133">
        <f t="shared" si="2"/>
        <v>0</v>
      </c>
      <c r="N18" s="132"/>
      <c r="O18" s="133">
        <f t="shared" si="3"/>
        <v>0</v>
      </c>
      <c r="P18" s="132"/>
      <c r="Q18" s="133">
        <f t="shared" si="3"/>
        <v>0</v>
      </c>
      <c r="R18" s="155"/>
      <c r="S18" s="135">
        <f t="shared" si="4"/>
        <v>100</v>
      </c>
      <c r="U18" s="128"/>
      <c r="V18" s="128"/>
      <c r="W18" s="128"/>
      <c r="X18" s="128"/>
      <c r="Y18" s="128"/>
      <c r="Z18" s="128"/>
      <c r="AA18" s="128"/>
      <c r="AB18" s="128"/>
    </row>
    <row r="19" spans="1:28" s="127" customFormat="1" ht="15.5" x14ac:dyDescent="0.25">
      <c r="A19" s="129"/>
      <c r="B19" s="130"/>
      <c r="C19" s="131">
        <v>100</v>
      </c>
      <c r="D19" s="132"/>
      <c r="E19" s="132"/>
      <c r="F19" s="133">
        <f t="shared" si="0"/>
        <v>0</v>
      </c>
      <c r="G19" s="134"/>
      <c r="H19" s="132"/>
      <c r="I19" s="133">
        <f t="shared" si="1"/>
        <v>0</v>
      </c>
      <c r="J19" s="155"/>
      <c r="K19" s="155"/>
      <c r="L19" s="155"/>
      <c r="M19" s="133">
        <f t="shared" si="2"/>
        <v>0</v>
      </c>
      <c r="N19" s="132"/>
      <c r="O19" s="133">
        <f t="shared" si="3"/>
        <v>0</v>
      </c>
      <c r="P19" s="132"/>
      <c r="Q19" s="133">
        <f t="shared" si="3"/>
        <v>0</v>
      </c>
      <c r="R19" s="155"/>
      <c r="S19" s="135">
        <f t="shared" si="4"/>
        <v>100</v>
      </c>
      <c r="U19" s="128"/>
      <c r="V19" s="128"/>
      <c r="W19" s="128"/>
      <c r="X19" s="128"/>
      <c r="Y19" s="128"/>
      <c r="Z19" s="128"/>
      <c r="AA19" s="128"/>
      <c r="AB19" s="128"/>
    </row>
    <row r="20" spans="1:28" s="127" customFormat="1" ht="15.5" x14ac:dyDescent="0.25">
      <c r="A20" s="129"/>
      <c r="B20" s="130"/>
      <c r="C20" s="131">
        <v>100</v>
      </c>
      <c r="D20" s="132"/>
      <c r="E20" s="132"/>
      <c r="F20" s="133">
        <f t="shared" si="0"/>
        <v>0</v>
      </c>
      <c r="G20" s="134"/>
      <c r="H20" s="132"/>
      <c r="I20" s="133">
        <f t="shared" si="1"/>
        <v>0</v>
      </c>
      <c r="J20" s="155"/>
      <c r="K20" s="155"/>
      <c r="L20" s="155"/>
      <c r="M20" s="133">
        <f t="shared" si="2"/>
        <v>0</v>
      </c>
      <c r="N20" s="132"/>
      <c r="O20" s="133">
        <f t="shared" si="3"/>
        <v>0</v>
      </c>
      <c r="P20" s="132"/>
      <c r="Q20" s="133">
        <f t="shared" si="3"/>
        <v>0</v>
      </c>
      <c r="R20" s="155"/>
      <c r="S20" s="135">
        <f t="shared" si="4"/>
        <v>100</v>
      </c>
      <c r="U20" s="128"/>
      <c r="V20" s="128"/>
      <c r="W20" s="128"/>
      <c r="X20" s="128"/>
      <c r="Y20" s="128"/>
      <c r="Z20" s="128"/>
      <c r="AA20" s="128"/>
      <c r="AB20" s="128"/>
    </row>
  </sheetData>
  <mergeCells count="1">
    <mergeCell ref="A2:S2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zoomScaleNormal="100" workbookViewId="0">
      <selection activeCell="H24" sqref="H24"/>
    </sheetView>
  </sheetViews>
  <sheetFormatPr defaultColWidth="8.75" defaultRowHeight="14" outlineLevelRow="1" x14ac:dyDescent="0.25"/>
  <cols>
    <col min="1" max="1" width="21.58203125" style="31" bestFit="1" customWidth="1"/>
    <col min="2" max="2" width="10.75" style="32" bestFit="1" customWidth="1"/>
    <col min="3" max="3" width="12" style="31" bestFit="1" customWidth="1"/>
    <col min="4" max="4" width="17.33203125" style="31" bestFit="1" customWidth="1"/>
    <col min="5" max="5" width="10.75" style="12" bestFit="1" customWidth="1"/>
    <col min="6" max="6" width="10.75" style="12" customWidth="1"/>
    <col min="7" max="7" width="33.33203125" style="12" bestFit="1" customWidth="1"/>
    <col min="8" max="8" width="13.58203125" style="33" customWidth="1"/>
    <col min="9" max="9" width="13" style="12" customWidth="1"/>
    <col min="10" max="10" width="20.9140625" style="12" customWidth="1"/>
    <col min="11" max="11" width="15.25" style="12" customWidth="1"/>
    <col min="12" max="12" width="10.58203125" style="12" customWidth="1"/>
    <col min="13" max="13" width="10.08203125" style="12" bestFit="1" customWidth="1"/>
    <col min="14" max="14" width="16.83203125" style="12" bestFit="1" customWidth="1"/>
    <col min="15" max="15" width="23.08203125" style="12" customWidth="1"/>
    <col min="16" max="16" width="20.58203125" style="12" customWidth="1"/>
    <col min="17" max="16384" width="8.75" style="12"/>
  </cols>
  <sheetData>
    <row r="1" spans="1:16" s="4" customFormat="1" ht="34.5" customHeight="1" x14ac:dyDescent="0.25">
      <c r="A1" s="224" t="s">
        <v>103</v>
      </c>
      <c r="B1" s="224"/>
      <c r="C1" s="224"/>
      <c r="D1" s="1"/>
      <c r="E1" s="2"/>
      <c r="F1" s="94"/>
      <c r="H1" s="5"/>
    </row>
    <row r="2" spans="1:16" ht="18" customHeight="1" x14ac:dyDescent="0.25">
      <c r="A2" s="74" t="s">
        <v>1</v>
      </c>
      <c r="B2" s="149">
        <f>SUM(B3:B23)</f>
        <v>7730350</v>
      </c>
      <c r="C2" s="3">
        <f>B2/N$2</f>
        <v>2.9135809139827967E-2</v>
      </c>
      <c r="D2" s="74" t="s">
        <v>44</v>
      </c>
      <c r="E2" s="149">
        <f>SUM(E3:E6)</f>
        <v>2020000</v>
      </c>
      <c r="F2" s="3">
        <f>E2/N$2</f>
        <v>7.6134113542662999E-3</v>
      </c>
      <c r="G2" s="74" t="s">
        <v>107</v>
      </c>
      <c r="H2" s="7">
        <f>SUM(H3:H18)</f>
        <v>177916784</v>
      </c>
      <c r="I2" s="3">
        <f>H2/N$2</f>
        <v>0.6705711205050221</v>
      </c>
      <c r="J2" s="75" t="s">
        <v>109</v>
      </c>
      <c r="K2" s="8">
        <f>SUM(K3:K10)</f>
        <v>71966420</v>
      </c>
      <c r="L2" s="3">
        <f>K2/N$2</f>
        <v>0.27124255403658282</v>
      </c>
      <c r="M2" s="148" t="s">
        <v>104</v>
      </c>
      <c r="N2" s="9">
        <f>B2+E2+H2+K2+E7</f>
        <v>265321274</v>
      </c>
      <c r="O2" s="11"/>
    </row>
    <row r="3" spans="1:16" ht="18" customHeight="1" outlineLevel="1" x14ac:dyDescent="0.3">
      <c r="A3" s="51" t="s">
        <v>5</v>
      </c>
      <c r="B3" s="13">
        <f>314900</f>
        <v>314900</v>
      </c>
      <c r="C3" s="3">
        <f>B3/$B$2</f>
        <v>4.073554237518353E-2</v>
      </c>
      <c r="D3" s="150" t="s">
        <v>34</v>
      </c>
      <c r="E3" s="15">
        <f>520000</f>
        <v>520000</v>
      </c>
      <c r="F3" s="3">
        <f>E3/E$2</f>
        <v>0.25742574257425743</v>
      </c>
      <c r="G3" s="147" t="s">
        <v>105</v>
      </c>
      <c r="H3" s="64">
        <v>50000000</v>
      </c>
      <c r="I3" s="3">
        <f>H3/H$2</f>
        <v>0.28103025962969297</v>
      </c>
      <c r="J3" s="152" t="s">
        <v>110</v>
      </c>
      <c r="K3" s="153">
        <f>5000000+30000000+20800000</f>
        <v>55800000</v>
      </c>
      <c r="L3" s="3">
        <f>K3/K$2</f>
        <v>0.77536162004445963</v>
      </c>
      <c r="M3" s="38"/>
      <c r="N3" s="35"/>
      <c r="O3" s="11"/>
    </row>
    <row r="4" spans="1:16" ht="18" customHeight="1" outlineLevel="1" x14ac:dyDescent="0.3">
      <c r="A4" s="51" t="s">
        <v>7</v>
      </c>
      <c r="B4" s="13">
        <f>3168150</f>
        <v>3168150</v>
      </c>
      <c r="C4" s="3">
        <f t="shared" ref="C4:C23" si="0">B4/$B$2</f>
        <v>0.40983267251806194</v>
      </c>
      <c r="D4" s="58" t="s">
        <v>49</v>
      </c>
      <c r="E4" s="15">
        <f>480000</f>
        <v>480000</v>
      </c>
      <c r="F4" s="3">
        <f t="shared" ref="F4:F6" si="1">E4/E$2</f>
        <v>0.23762376237623761</v>
      </c>
      <c r="G4" s="66" t="s">
        <v>106</v>
      </c>
      <c r="H4" s="64">
        <v>15000000</v>
      </c>
      <c r="I4" s="3">
        <f t="shared" ref="I4:I23" si="2">H4/H$2</f>
        <v>8.4309077888907888E-2</v>
      </c>
      <c r="J4" s="152" t="s">
        <v>117</v>
      </c>
      <c r="K4" s="153">
        <f>65065+513755</f>
        <v>578820</v>
      </c>
      <c r="L4" s="3">
        <f t="shared" ref="L4:L23" si="3">K4/K$2</f>
        <v>8.0429177941601093E-3</v>
      </c>
      <c r="M4" s="38"/>
      <c r="N4" s="35"/>
      <c r="O4" s="11"/>
    </row>
    <row r="5" spans="1:16" ht="18" customHeight="1" outlineLevel="1" x14ac:dyDescent="0.3">
      <c r="A5" s="52" t="s">
        <v>31</v>
      </c>
      <c r="B5" s="13">
        <f>28000</f>
        <v>28000</v>
      </c>
      <c r="C5" s="3">
        <f t="shared" si="0"/>
        <v>3.6220869688953282E-3</v>
      </c>
      <c r="D5" s="150" t="s">
        <v>61</v>
      </c>
      <c r="E5" s="15">
        <f>520000</f>
        <v>520000</v>
      </c>
      <c r="F5" s="3">
        <f t="shared" si="1"/>
        <v>0.25742574257425743</v>
      </c>
      <c r="G5" s="66" t="s">
        <v>108</v>
      </c>
      <c r="H5" s="64">
        <v>5000000</v>
      </c>
      <c r="I5" s="3">
        <f t="shared" si="2"/>
        <v>2.8103025962969295E-2</v>
      </c>
      <c r="J5" s="152" t="s">
        <v>122</v>
      </c>
      <c r="K5" s="153">
        <v>4114000</v>
      </c>
      <c r="L5" s="3">
        <f t="shared" si="3"/>
        <v>5.7165550266360339E-2</v>
      </c>
      <c r="M5" s="38"/>
      <c r="N5" s="35"/>
      <c r="O5" s="11"/>
    </row>
    <row r="6" spans="1:16" ht="18" customHeight="1" outlineLevel="1" x14ac:dyDescent="0.3">
      <c r="A6" s="51" t="s">
        <v>12</v>
      </c>
      <c r="B6" s="13">
        <f>516200</f>
        <v>516200</v>
      </c>
      <c r="C6" s="3">
        <f t="shared" si="0"/>
        <v>6.6775760476563154E-2</v>
      </c>
      <c r="D6" s="58" t="s">
        <v>62</v>
      </c>
      <c r="E6" s="15">
        <f>500000</f>
        <v>500000</v>
      </c>
      <c r="F6" s="3">
        <f t="shared" si="1"/>
        <v>0.24752475247524752</v>
      </c>
      <c r="G6" s="66" t="s">
        <v>111</v>
      </c>
      <c r="H6" s="64">
        <f>2000000+9000000+9240000</f>
        <v>20240000</v>
      </c>
      <c r="I6" s="3">
        <f t="shared" si="2"/>
        <v>0.1137610490980997</v>
      </c>
      <c r="J6" s="152" t="s">
        <v>124</v>
      </c>
      <c r="K6" s="153">
        <v>561000</v>
      </c>
      <c r="L6" s="3">
        <f t="shared" si="3"/>
        <v>7.7953023090491375E-3</v>
      </c>
      <c r="M6" s="38"/>
      <c r="N6" s="35"/>
      <c r="O6" s="11"/>
    </row>
    <row r="7" spans="1:16" ht="18" customHeight="1" outlineLevel="1" x14ac:dyDescent="0.3">
      <c r="A7" s="52" t="s">
        <v>32</v>
      </c>
      <c r="B7" s="13">
        <f>763900</f>
        <v>763900</v>
      </c>
      <c r="C7" s="3">
        <f t="shared" si="0"/>
        <v>9.8818294126397893E-2</v>
      </c>
      <c r="D7" s="74" t="s">
        <v>120</v>
      </c>
      <c r="E7" s="149">
        <f>SUM(E8:E13)</f>
        <v>5687720</v>
      </c>
      <c r="F7" s="3">
        <f>E7/N$2</f>
        <v>2.1437104964300752E-2</v>
      </c>
      <c r="G7" s="66" t="s">
        <v>115</v>
      </c>
      <c r="H7" s="64">
        <f>2500000+23990000</f>
        <v>26490000</v>
      </c>
      <c r="I7" s="3">
        <f t="shared" si="2"/>
        <v>0.14888983155181132</v>
      </c>
      <c r="J7" s="152" t="s">
        <v>128</v>
      </c>
      <c r="K7" s="153">
        <v>1400000</v>
      </c>
      <c r="L7" s="3">
        <f t="shared" si="3"/>
        <v>1.9453517348785726E-2</v>
      </c>
      <c r="M7" s="38"/>
      <c r="N7" s="35"/>
      <c r="O7" s="22"/>
    </row>
    <row r="8" spans="1:16" ht="18" customHeight="1" outlineLevel="1" x14ac:dyDescent="0.3">
      <c r="A8" s="52" t="s">
        <v>33</v>
      </c>
      <c r="B8" s="13">
        <f>495000</f>
        <v>495000</v>
      </c>
      <c r="C8" s="3">
        <f t="shared" si="0"/>
        <v>6.4033323200113831E-2</v>
      </c>
      <c r="D8" s="58" t="s">
        <v>112</v>
      </c>
      <c r="E8" s="15">
        <v>458500</v>
      </c>
      <c r="F8" s="3">
        <f>E8/E$7</f>
        <v>8.0612266426617341E-2</v>
      </c>
      <c r="G8" s="66" t="s">
        <v>116</v>
      </c>
      <c r="H8" s="64">
        <v>1045000</v>
      </c>
      <c r="I8" s="3">
        <f t="shared" si="2"/>
        <v>5.8735324262605823E-3</v>
      </c>
      <c r="J8" s="152" t="s">
        <v>135</v>
      </c>
      <c r="K8" s="153">
        <v>1650000</v>
      </c>
      <c r="L8" s="3">
        <f t="shared" si="3"/>
        <v>2.2927359732497463E-2</v>
      </c>
      <c r="M8" s="38"/>
      <c r="N8" s="35"/>
      <c r="O8" s="11"/>
    </row>
    <row r="9" spans="1:16" ht="18" customHeight="1" outlineLevel="1" x14ac:dyDescent="0.3">
      <c r="A9" s="51" t="s">
        <v>17</v>
      </c>
      <c r="B9" s="13">
        <f>985000</f>
        <v>985000</v>
      </c>
      <c r="C9" s="3">
        <f t="shared" si="0"/>
        <v>0.12741984515578209</v>
      </c>
      <c r="D9" s="58" t="s">
        <v>113</v>
      </c>
      <c r="E9" s="15">
        <v>290800</v>
      </c>
      <c r="F9" s="3">
        <f t="shared" ref="F9:F23" si="4">E9/E$7</f>
        <v>5.1127692643097765E-2</v>
      </c>
      <c r="G9" s="66" t="s">
        <v>121</v>
      </c>
      <c r="H9" s="64">
        <v>2860000</v>
      </c>
      <c r="I9" s="3">
        <f t="shared" si="2"/>
        <v>1.6074930850818438E-2</v>
      </c>
      <c r="J9" s="152" t="s">
        <v>136</v>
      </c>
      <c r="K9" s="153">
        <f>962600+6600000</f>
        <v>7562600</v>
      </c>
      <c r="L9" s="3">
        <f t="shared" si="3"/>
        <v>0.10508512164423352</v>
      </c>
      <c r="M9" s="38"/>
      <c r="N9" s="35"/>
      <c r="O9" s="11"/>
    </row>
    <row r="10" spans="1:16" ht="18" customHeight="1" outlineLevel="1" x14ac:dyDescent="0.3">
      <c r="A10" s="52" t="s">
        <v>38</v>
      </c>
      <c r="B10" s="13">
        <f>1150000</f>
        <v>1150000</v>
      </c>
      <c r="C10" s="3">
        <f t="shared" si="0"/>
        <v>0.14876428622248669</v>
      </c>
      <c r="D10" s="58" t="s">
        <v>114</v>
      </c>
      <c r="E10" s="15">
        <v>261000</v>
      </c>
      <c r="F10" s="3">
        <f t="shared" si="4"/>
        <v>4.5888334868805072E-2</v>
      </c>
      <c r="G10" s="66" t="s">
        <v>123</v>
      </c>
      <c r="H10" s="67">
        <v>3425784</v>
      </c>
      <c r="I10" s="3">
        <f t="shared" si="2"/>
        <v>1.9254979339104961E-2</v>
      </c>
      <c r="J10" s="152" t="s">
        <v>137</v>
      </c>
      <c r="K10" s="153">
        <v>300000</v>
      </c>
      <c r="L10" s="3">
        <f t="shared" si="3"/>
        <v>4.1686108604540844E-3</v>
      </c>
      <c r="M10" s="38"/>
      <c r="N10" s="35"/>
      <c r="O10" s="22"/>
    </row>
    <row r="11" spans="1:16" s="23" customFormat="1" ht="18" customHeight="1" x14ac:dyDescent="0.3">
      <c r="A11" s="51" t="s">
        <v>20</v>
      </c>
      <c r="B11" s="13">
        <f>143000</f>
        <v>143000</v>
      </c>
      <c r="C11" s="3">
        <f t="shared" si="0"/>
        <v>1.8498515591143998E-2</v>
      </c>
      <c r="D11" s="150" t="s">
        <v>119</v>
      </c>
      <c r="E11" s="15">
        <v>1395000</v>
      </c>
      <c r="F11" s="3">
        <f t="shared" si="4"/>
        <v>0.24526523809188919</v>
      </c>
      <c r="G11" s="66" t="s">
        <v>125</v>
      </c>
      <c r="H11" s="68">
        <v>9350000</v>
      </c>
      <c r="I11" s="3">
        <f t="shared" si="2"/>
        <v>5.2552658550752578E-2</v>
      </c>
      <c r="J11" s="152" t="s">
        <v>172</v>
      </c>
      <c r="K11" s="153"/>
      <c r="L11" s="3">
        <f t="shared" si="3"/>
        <v>0</v>
      </c>
      <c r="M11" s="38"/>
      <c r="N11" s="35"/>
      <c r="O11" s="11"/>
    </row>
    <row r="12" spans="1:16" s="23" customFormat="1" ht="18" customHeight="1" x14ac:dyDescent="0.3">
      <c r="A12" s="53" t="s">
        <v>27</v>
      </c>
      <c r="B12" s="13">
        <f>132200</f>
        <v>132200</v>
      </c>
      <c r="C12" s="3">
        <f t="shared" si="0"/>
        <v>1.7101424903141513E-2</v>
      </c>
      <c r="D12" s="58" t="s">
        <v>126</v>
      </c>
      <c r="E12" s="15">
        <v>1164920</v>
      </c>
      <c r="F12" s="3">
        <f t="shared" si="4"/>
        <v>0.20481317645735023</v>
      </c>
      <c r="G12" s="66" t="s">
        <v>127</v>
      </c>
      <c r="H12" s="67">
        <v>1276000</v>
      </c>
      <c r="I12" s="3">
        <f t="shared" si="2"/>
        <v>7.1718922257497644E-3</v>
      </c>
      <c r="J12" s="152" t="s">
        <v>173</v>
      </c>
      <c r="K12" s="153"/>
      <c r="L12" s="3">
        <f t="shared" si="3"/>
        <v>0</v>
      </c>
      <c r="M12" s="38"/>
      <c r="N12" s="35"/>
      <c r="O12" s="11"/>
      <c r="P12" s="44"/>
    </row>
    <row r="13" spans="1:16" s="23" customFormat="1" ht="18" customHeight="1" x14ac:dyDescent="0.3">
      <c r="A13" s="56" t="s">
        <v>60</v>
      </c>
      <c r="B13" s="13">
        <v>34000</v>
      </c>
      <c r="C13" s="3">
        <f t="shared" si="0"/>
        <v>4.3982484622300411E-3</v>
      </c>
      <c r="D13" s="58" t="s">
        <v>118</v>
      </c>
      <c r="E13" s="15">
        <v>2117500</v>
      </c>
      <c r="F13" s="3">
        <f t="shared" si="4"/>
        <v>0.37229329151224039</v>
      </c>
      <c r="G13" s="66" t="s">
        <v>129</v>
      </c>
      <c r="H13" s="67">
        <v>5230000</v>
      </c>
      <c r="I13" s="3">
        <f t="shared" si="2"/>
        <v>2.9395765157265882E-2</v>
      </c>
      <c r="J13" s="152"/>
      <c r="K13" s="153"/>
      <c r="L13" s="3">
        <f t="shared" si="3"/>
        <v>0</v>
      </c>
      <c r="M13" s="38"/>
      <c r="N13" s="35"/>
      <c r="O13" s="11"/>
      <c r="P13" s="44"/>
    </row>
    <row r="14" spans="1:16" s="26" customFormat="1" ht="18" customHeight="1" x14ac:dyDescent="0.3">
      <c r="A14" s="53"/>
      <c r="B14" s="13"/>
      <c r="C14" s="3">
        <f t="shared" si="0"/>
        <v>0</v>
      </c>
      <c r="D14" s="58"/>
      <c r="E14" s="15"/>
      <c r="F14" s="3">
        <f t="shared" si="4"/>
        <v>0</v>
      </c>
      <c r="G14" s="66" t="s">
        <v>130</v>
      </c>
      <c r="H14" s="67">
        <f>6000000+5000000</f>
        <v>11000000</v>
      </c>
      <c r="I14" s="3">
        <f t="shared" si="2"/>
        <v>6.1826657118532448E-2</v>
      </c>
      <c r="J14" s="152"/>
      <c r="K14" s="153"/>
      <c r="L14" s="3">
        <f t="shared" si="3"/>
        <v>0</v>
      </c>
      <c r="M14" s="38"/>
      <c r="N14" s="35"/>
      <c r="O14" s="11"/>
      <c r="P14" s="45"/>
    </row>
    <row r="15" spans="1:16" ht="18" customHeight="1" outlineLevel="1" x14ac:dyDescent="0.3">
      <c r="A15" s="56"/>
      <c r="B15" s="13"/>
      <c r="C15" s="3">
        <f t="shared" si="0"/>
        <v>0</v>
      </c>
      <c r="D15" s="151"/>
      <c r="E15" s="15"/>
      <c r="F15" s="3">
        <f t="shared" si="4"/>
        <v>0</v>
      </c>
      <c r="G15" s="66" t="s">
        <v>132</v>
      </c>
      <c r="H15" s="67">
        <f>5000000+3760000+1800000</f>
        <v>10560000</v>
      </c>
      <c r="I15" s="3">
        <f t="shared" si="2"/>
        <v>5.9353590833791152E-2</v>
      </c>
      <c r="J15" s="152"/>
      <c r="K15" s="153"/>
      <c r="L15" s="3">
        <f t="shared" si="3"/>
        <v>0</v>
      </c>
      <c r="M15" s="38"/>
      <c r="N15" s="35"/>
      <c r="O15" s="11"/>
      <c r="P15" s="46"/>
    </row>
    <row r="16" spans="1:16" ht="18" customHeight="1" outlineLevel="1" x14ac:dyDescent="0.3">
      <c r="A16" s="47"/>
      <c r="B16" s="13"/>
      <c r="C16" s="3">
        <f t="shared" si="0"/>
        <v>0</v>
      </c>
      <c r="D16" s="58"/>
      <c r="E16" s="15"/>
      <c r="F16" s="3">
        <f t="shared" si="4"/>
        <v>0</v>
      </c>
      <c r="G16" s="69" t="s">
        <v>131</v>
      </c>
      <c r="H16" s="67">
        <v>5390000</v>
      </c>
      <c r="I16" s="3">
        <f t="shared" si="2"/>
        <v>3.02950619880809E-2</v>
      </c>
      <c r="J16" s="152"/>
      <c r="K16" s="153"/>
      <c r="L16" s="3">
        <f t="shared" si="3"/>
        <v>0</v>
      </c>
      <c r="M16" s="38"/>
      <c r="N16" s="35"/>
      <c r="O16" s="11"/>
      <c r="P16" s="46"/>
    </row>
    <row r="17" spans="1:15" ht="18" customHeight="1" x14ac:dyDescent="0.3">
      <c r="A17" s="25"/>
      <c r="B17" s="13"/>
      <c r="C17" s="3">
        <f t="shared" si="0"/>
        <v>0</v>
      </c>
      <c r="D17" s="17"/>
      <c r="E17" s="15"/>
      <c r="F17" s="3">
        <f t="shared" si="4"/>
        <v>0</v>
      </c>
      <c r="G17" s="70" t="s">
        <v>133</v>
      </c>
      <c r="H17" s="67">
        <v>1370000</v>
      </c>
      <c r="I17" s="3">
        <f t="shared" si="2"/>
        <v>7.7002291138535866E-3</v>
      </c>
      <c r="J17" s="152"/>
      <c r="K17" s="153"/>
      <c r="L17" s="3">
        <f t="shared" si="3"/>
        <v>0</v>
      </c>
      <c r="M17" s="38"/>
      <c r="N17" s="35"/>
      <c r="O17" s="11"/>
    </row>
    <row r="18" spans="1:15" s="28" customFormat="1" ht="18" customHeight="1" outlineLevel="1" x14ac:dyDescent="0.3">
      <c r="A18" s="25"/>
      <c r="B18" s="13"/>
      <c r="C18" s="3">
        <f t="shared" si="0"/>
        <v>0</v>
      </c>
      <c r="D18" s="17"/>
      <c r="E18" s="15"/>
      <c r="F18" s="3">
        <f t="shared" si="4"/>
        <v>0</v>
      </c>
      <c r="G18" s="66" t="s">
        <v>134</v>
      </c>
      <c r="H18" s="67">
        <v>9680000</v>
      </c>
      <c r="I18" s="3">
        <f t="shared" si="2"/>
        <v>5.4407458264308553E-2</v>
      </c>
      <c r="J18" s="152" t="s">
        <v>174</v>
      </c>
      <c r="K18" s="153">
        <v>-8498630</v>
      </c>
      <c r="L18" s="3">
        <f t="shared" si="3"/>
        <v>-0.11809160438993631</v>
      </c>
      <c r="M18" s="38"/>
      <c r="N18" s="35"/>
      <c r="O18" s="22"/>
    </row>
    <row r="19" spans="1:15" s="28" customFormat="1" ht="18" customHeight="1" outlineLevel="1" x14ac:dyDescent="0.3">
      <c r="A19" s="25"/>
      <c r="B19" s="13"/>
      <c r="C19" s="3">
        <f t="shared" si="0"/>
        <v>0</v>
      </c>
      <c r="D19" s="72"/>
      <c r="E19" s="15"/>
      <c r="F19" s="3">
        <f t="shared" si="4"/>
        <v>0</v>
      </c>
      <c r="G19" s="47"/>
      <c r="H19" s="67"/>
      <c r="I19" s="3">
        <f t="shared" si="2"/>
        <v>0</v>
      </c>
      <c r="J19" s="152"/>
      <c r="K19" s="153"/>
      <c r="L19" s="3">
        <f t="shared" si="3"/>
        <v>0</v>
      </c>
      <c r="M19" s="38"/>
      <c r="N19" s="35"/>
      <c r="O19" s="22"/>
    </row>
    <row r="20" spans="1:15" s="28" customFormat="1" ht="18" customHeight="1" outlineLevel="1" x14ac:dyDescent="0.3">
      <c r="A20" s="48"/>
      <c r="B20" s="13"/>
      <c r="C20" s="3">
        <f t="shared" si="0"/>
        <v>0</v>
      </c>
      <c r="D20" s="72"/>
      <c r="E20" s="15"/>
      <c r="F20" s="3">
        <f t="shared" si="4"/>
        <v>0</v>
      </c>
      <c r="G20" s="71"/>
      <c r="H20" s="67"/>
      <c r="I20" s="3">
        <f t="shared" si="2"/>
        <v>0</v>
      </c>
      <c r="J20" s="152"/>
      <c r="K20" s="153"/>
      <c r="L20" s="3">
        <f t="shared" si="3"/>
        <v>0</v>
      </c>
      <c r="M20" s="38"/>
      <c r="N20" s="35"/>
      <c r="O20" s="22"/>
    </row>
    <row r="21" spans="1:15" s="28" customFormat="1" ht="18" customHeight="1" outlineLevel="1" x14ac:dyDescent="0.3">
      <c r="A21" s="25"/>
      <c r="B21" s="13"/>
      <c r="C21" s="3">
        <f t="shared" si="0"/>
        <v>0</v>
      </c>
      <c r="D21" s="72"/>
      <c r="E21" s="15"/>
      <c r="F21" s="3">
        <f t="shared" si="4"/>
        <v>0</v>
      </c>
      <c r="G21" s="71"/>
      <c r="H21" s="67"/>
      <c r="I21" s="3">
        <f t="shared" si="2"/>
        <v>0</v>
      </c>
      <c r="J21" s="152"/>
      <c r="K21" s="153"/>
      <c r="L21" s="3">
        <f t="shared" si="3"/>
        <v>0</v>
      </c>
      <c r="M21" s="38"/>
      <c r="N21" s="35"/>
      <c r="O21" s="22"/>
    </row>
    <row r="22" spans="1:15" s="28" customFormat="1" ht="18" customHeight="1" outlineLevel="1" x14ac:dyDescent="0.3">
      <c r="A22" s="25"/>
      <c r="B22" s="13"/>
      <c r="C22" s="3">
        <f t="shared" si="0"/>
        <v>0</v>
      </c>
      <c r="D22" s="72"/>
      <c r="E22" s="15"/>
      <c r="F22" s="3">
        <f t="shared" si="4"/>
        <v>0</v>
      </c>
      <c r="G22" s="71"/>
      <c r="H22" s="67"/>
      <c r="I22" s="3">
        <f t="shared" si="2"/>
        <v>0</v>
      </c>
      <c r="J22" s="152"/>
      <c r="K22" s="153"/>
      <c r="L22" s="3">
        <f t="shared" si="3"/>
        <v>0</v>
      </c>
      <c r="M22" s="38"/>
      <c r="N22" s="35"/>
      <c r="O22" s="22"/>
    </row>
    <row r="23" spans="1:15" s="28" customFormat="1" ht="18" customHeight="1" outlineLevel="1" x14ac:dyDescent="0.3">
      <c r="A23" s="25"/>
      <c r="B23" s="13"/>
      <c r="C23" s="3">
        <f t="shared" si="0"/>
        <v>0</v>
      </c>
      <c r="D23" s="72"/>
      <c r="E23" s="15"/>
      <c r="F23" s="3">
        <f t="shared" si="4"/>
        <v>0</v>
      </c>
      <c r="G23" s="72"/>
      <c r="H23" s="73"/>
      <c r="I23" s="3">
        <f t="shared" si="2"/>
        <v>0</v>
      </c>
      <c r="J23" s="152"/>
      <c r="K23" s="153"/>
      <c r="L23" s="3">
        <f t="shared" si="3"/>
        <v>0</v>
      </c>
      <c r="M23" s="38"/>
      <c r="N23" s="35"/>
      <c r="O23" s="22"/>
    </row>
    <row r="24" spans="1:15" s="26" customFormat="1" ht="18" customHeight="1" x14ac:dyDescent="0.25">
      <c r="G24" s="29"/>
      <c r="H24" s="30"/>
      <c r="M24" s="38"/>
      <c r="N24" s="35"/>
    </row>
    <row r="25" spans="1:15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8"/>
      <c r="N25" s="35"/>
      <c r="O25" s="35"/>
    </row>
    <row r="26" spans="1:15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8"/>
      <c r="N26" s="35"/>
      <c r="O26" s="35"/>
    </row>
    <row r="27" spans="1:15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5"/>
    </row>
    <row r="28" spans="1:15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5"/>
    </row>
    <row r="29" spans="1:15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5"/>
    </row>
    <row r="30" spans="1:15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5"/>
    </row>
    <row r="31" spans="1:15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5"/>
    </row>
    <row r="32" spans="1:15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5"/>
    </row>
    <row r="33" spans="1:15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5"/>
    </row>
    <row r="34" spans="1:15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8"/>
      <c r="N34" s="35"/>
      <c r="O34" s="36"/>
    </row>
    <row r="35" spans="1:15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</row>
    <row r="36" spans="1:15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</row>
    <row r="37" spans="1:15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</row>
    <row r="38" spans="1:15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35"/>
      <c r="O38" s="42"/>
    </row>
    <row r="39" spans="1:15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3"/>
      <c r="N39" s="35"/>
      <c r="O39" s="42"/>
    </row>
    <row r="40" spans="1:15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35"/>
      <c r="O40" s="35"/>
    </row>
    <row r="41" spans="1:15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</row>
    <row r="42" spans="1:15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</row>
    <row r="43" spans="1:15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</row>
    <row r="44" spans="1:15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</row>
  </sheetData>
  <mergeCells count="1">
    <mergeCell ref="A1:C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E1B9-C442-4C4E-913D-98692C89E60C}">
  <dimension ref="A1:T44"/>
  <sheetViews>
    <sheetView zoomScale="85" zoomScaleNormal="85" workbookViewId="0">
      <selection activeCell="H38" sqref="H38"/>
    </sheetView>
  </sheetViews>
  <sheetFormatPr defaultColWidth="8.75" defaultRowHeight="14" outlineLevelRow="1" x14ac:dyDescent="0.25"/>
  <cols>
    <col min="1" max="1" width="21.58203125" style="31" bestFit="1" customWidth="1"/>
    <col min="2" max="2" width="10.75" style="32" bestFit="1" customWidth="1"/>
    <col min="3" max="4" width="10.4140625" style="31" bestFit="1" customWidth="1"/>
    <col min="5" max="5" width="10.75" style="12" bestFit="1" customWidth="1"/>
    <col min="6" max="6" width="9.83203125" style="12" bestFit="1" customWidth="1"/>
    <col min="7" max="7" width="20.5" style="12" bestFit="1" customWidth="1"/>
    <col min="8" max="8" width="10.75" style="33" bestFit="1" customWidth="1"/>
    <col min="9" max="9" width="8.75" style="12" bestFit="1" customWidth="1"/>
    <col min="10" max="10" width="20.6640625" style="12" bestFit="1" customWidth="1"/>
    <col min="11" max="11" width="10.75" style="12" bestFit="1" customWidth="1"/>
    <col min="12" max="12" width="8.75" style="12" bestFit="1" customWidth="1"/>
    <col min="13" max="13" width="16.58203125" style="12" bestFit="1" customWidth="1"/>
    <col min="14" max="14" width="10.4140625" style="12" bestFit="1" customWidth="1"/>
    <col min="15" max="15" width="7.58203125" style="12" bestFit="1" customWidth="1"/>
    <col min="16" max="16" width="19.25" style="12" bestFit="1" customWidth="1"/>
    <col min="17" max="17" width="15" style="12" bestFit="1" customWidth="1"/>
    <col min="18" max="18" width="6.9140625" style="12" bestFit="1" customWidth="1"/>
    <col min="19" max="19" width="23.08203125" style="12" customWidth="1"/>
    <col min="20" max="20" width="20.58203125" style="12" customWidth="1"/>
    <col min="21" max="16384" width="8.75" style="12"/>
  </cols>
  <sheetData>
    <row r="1" spans="1:20" s="4" customFormat="1" ht="34.5" customHeight="1" x14ac:dyDescent="0.25">
      <c r="A1" s="225" t="s">
        <v>63</v>
      </c>
      <c r="B1" s="226"/>
      <c r="C1" s="226"/>
      <c r="D1" s="92" t="s">
        <v>0</v>
      </c>
      <c r="E1" s="93">
        <v>90235000</v>
      </c>
      <c r="F1" s="94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20" ht="18" customHeight="1" thickBot="1" x14ac:dyDescent="0.35">
      <c r="A2" s="49" t="s">
        <v>1</v>
      </c>
      <c r="B2" s="6">
        <f>SUM(B3:B23)</f>
        <v>29397724</v>
      </c>
      <c r="C2" s="95">
        <f t="shared" ref="C2:C23" si="1">B2/E$1</f>
        <v>0.32579070205574334</v>
      </c>
      <c r="D2" s="96" t="s">
        <v>44</v>
      </c>
      <c r="E2" s="6">
        <f>SUM(E3:E23)</f>
        <v>24369613</v>
      </c>
      <c r="F2" s="87">
        <f t="shared" si="0"/>
        <v>0.27006829944035021</v>
      </c>
      <c r="G2" s="96" t="s">
        <v>2</v>
      </c>
      <c r="H2" s="86">
        <f>SUM(H3:H23)</f>
        <v>11845190</v>
      </c>
      <c r="I2" s="87">
        <f>H2/E$1</f>
        <v>0.1312704604643431</v>
      </c>
      <c r="J2" s="97" t="s">
        <v>3</v>
      </c>
      <c r="K2" s="88">
        <f>SUM(K3:K23)</f>
        <v>11285975.600000001</v>
      </c>
      <c r="L2" s="87">
        <f t="shared" ref="L2" si="2">K2/E$1</f>
        <v>0.12507314899983379</v>
      </c>
      <c r="M2" s="75" t="s">
        <v>22</v>
      </c>
      <c r="N2" s="86">
        <f>SUM(N3:N23)</f>
        <v>5907720</v>
      </c>
      <c r="O2" s="87">
        <f>N2/E$1</f>
        <v>6.5470382889122852E-2</v>
      </c>
      <c r="P2" s="89" t="s">
        <v>4</v>
      </c>
      <c r="Q2" s="90">
        <f>E1-B2-E2-H2-K2-N2</f>
        <v>7428777.3999999985</v>
      </c>
      <c r="R2" s="91">
        <f>Q2/E1</f>
        <v>8.232700615060673E-2</v>
      </c>
      <c r="S2" s="11"/>
    </row>
    <row r="3" spans="1:20" ht="18" customHeight="1" outlineLevel="1" thickTop="1" thickBot="1" x14ac:dyDescent="0.35">
      <c r="A3" s="50" t="s">
        <v>5</v>
      </c>
      <c r="B3" s="13">
        <v>1089800</v>
      </c>
      <c r="C3" s="82">
        <f t="shared" si="1"/>
        <v>1.2077353576771763E-2</v>
      </c>
      <c r="D3" s="81" t="s">
        <v>35</v>
      </c>
      <c r="E3" s="15">
        <v>3500000</v>
      </c>
      <c r="F3" s="85">
        <f t="shared" si="0"/>
        <v>3.8787610129107329E-2</v>
      </c>
      <c r="G3" s="66" t="s">
        <v>37</v>
      </c>
      <c r="H3" s="140">
        <v>5500000</v>
      </c>
      <c r="I3" s="3">
        <f>H3/E$1</f>
        <v>6.0951958774311518E-2</v>
      </c>
      <c r="J3" s="100" t="s">
        <v>6</v>
      </c>
      <c r="K3" s="141">
        <f>E1*5%</f>
        <v>4511750</v>
      </c>
      <c r="L3" s="101">
        <f>K3/E$1</f>
        <v>0.05</v>
      </c>
      <c r="M3" s="80" t="s">
        <v>24</v>
      </c>
      <c r="N3" s="15">
        <v>2729000</v>
      </c>
      <c r="O3" s="87">
        <f t="shared" ref="O3:O23" si="3">N3/E$1</f>
        <v>3.0243253726381116E-2</v>
      </c>
      <c r="P3" s="102"/>
      <c r="Q3" s="103"/>
      <c r="R3" s="103"/>
      <c r="S3" s="11"/>
    </row>
    <row r="4" spans="1:20" ht="18" customHeight="1" outlineLevel="1" thickTop="1" thickBot="1" x14ac:dyDescent="0.35">
      <c r="A4" s="51" t="s">
        <v>7</v>
      </c>
      <c r="B4" s="13">
        <v>8201380</v>
      </c>
      <c r="C4" s="3">
        <f t="shared" si="1"/>
        <v>9.0889122845902365E-2</v>
      </c>
      <c r="D4" s="81" t="s">
        <v>36</v>
      </c>
      <c r="E4" s="15">
        <v>1200000</v>
      </c>
      <c r="F4" s="16">
        <f>E4/E$1</f>
        <v>1.3298609187122513E-2</v>
      </c>
      <c r="G4" s="65" t="s">
        <v>8</v>
      </c>
      <c r="H4" s="64"/>
      <c r="I4" s="3">
        <f t="shared" ref="I4:I23" si="4">H4/E$1</f>
        <v>0</v>
      </c>
      <c r="J4" s="158" t="s">
        <v>9</v>
      </c>
      <c r="K4" s="159"/>
      <c r="L4" s="101">
        <f t="shared" ref="L4:L13" si="5">K4/E$1</f>
        <v>0</v>
      </c>
      <c r="M4" s="60" t="s">
        <v>26</v>
      </c>
      <c r="N4" s="15">
        <v>225000</v>
      </c>
      <c r="O4" s="87">
        <f t="shared" si="3"/>
        <v>2.4934892225854711E-3</v>
      </c>
      <c r="P4" s="104"/>
      <c r="Q4" s="105"/>
      <c r="R4" s="105"/>
      <c r="S4" s="11"/>
    </row>
    <row r="5" spans="1:20" ht="18" customHeight="1" outlineLevel="1" thickTop="1" thickBot="1" x14ac:dyDescent="0.4">
      <c r="A5" s="52" t="s">
        <v>31</v>
      </c>
      <c r="B5" s="13">
        <f>1352000</f>
        <v>1352000</v>
      </c>
      <c r="C5" s="3">
        <f t="shared" si="1"/>
        <v>1.4983099684158032E-2</v>
      </c>
      <c r="D5" s="81" t="s">
        <v>34</v>
      </c>
      <c r="E5" s="15">
        <v>3430000</v>
      </c>
      <c r="F5" s="16">
        <f>E5/E$1</f>
        <v>3.8011857926525186E-2</v>
      </c>
      <c r="G5" s="66" t="s">
        <v>59</v>
      </c>
      <c r="H5" s="64">
        <v>185000</v>
      </c>
      <c r="I5" s="3">
        <f t="shared" si="4"/>
        <v>2.0502022496813876E-3</v>
      </c>
      <c r="J5" s="162"/>
      <c r="K5" s="162"/>
      <c r="L5" s="101">
        <f t="shared" si="5"/>
        <v>0</v>
      </c>
      <c r="M5" s="61" t="s">
        <v>41</v>
      </c>
      <c r="N5" s="15">
        <v>165000</v>
      </c>
      <c r="O5" s="87">
        <f t="shared" si="3"/>
        <v>1.8285587632293457E-3</v>
      </c>
      <c r="P5" s="106" t="s">
        <v>11</v>
      </c>
      <c r="Q5" s="18">
        <f>SUM(Q6:Q20)</f>
        <v>0</v>
      </c>
      <c r="R5" s="10">
        <f t="shared" ref="R5:R20" si="6">Q5/E$1</f>
        <v>0</v>
      </c>
      <c r="S5" s="19"/>
    </row>
    <row r="6" spans="1:20" ht="18" customHeight="1" outlineLevel="1" thickTop="1" thickBot="1" x14ac:dyDescent="0.4">
      <c r="A6" s="51" t="s">
        <v>12</v>
      </c>
      <c r="B6" s="13">
        <v>776900</v>
      </c>
      <c r="C6" s="3">
        <f t="shared" si="1"/>
        <v>8.6097412312295674E-3</v>
      </c>
      <c r="D6" s="81" t="s">
        <v>49</v>
      </c>
      <c r="E6" s="15">
        <v>3130000</v>
      </c>
      <c r="F6" s="16">
        <f t="shared" si="0"/>
        <v>3.4687205629744554E-2</v>
      </c>
      <c r="G6" s="65" t="s">
        <v>15</v>
      </c>
      <c r="H6" s="64">
        <v>106920</v>
      </c>
      <c r="I6" s="3">
        <f t="shared" si="4"/>
        <v>1.184906078572616E-3</v>
      </c>
      <c r="J6" s="160"/>
      <c r="K6" s="161"/>
      <c r="L6" s="101">
        <f t="shared" si="5"/>
        <v>0</v>
      </c>
      <c r="M6" s="61" t="s">
        <v>42</v>
      </c>
      <c r="N6" s="15">
        <v>148720</v>
      </c>
      <c r="O6" s="87">
        <f t="shared" si="3"/>
        <v>1.6481409652573835E-3</v>
      </c>
      <c r="P6" s="107"/>
      <c r="Q6" s="20"/>
      <c r="R6" s="10">
        <f t="shared" si="6"/>
        <v>0</v>
      </c>
      <c r="S6" s="21"/>
    </row>
    <row r="7" spans="1:20" ht="18" customHeight="1" outlineLevel="1" thickTop="1" thickBot="1" x14ac:dyDescent="0.4">
      <c r="A7" s="52" t="s">
        <v>32</v>
      </c>
      <c r="B7" s="13">
        <f>6163600</f>
        <v>6163600</v>
      </c>
      <c r="C7" s="3">
        <f t="shared" si="1"/>
        <v>6.8306089654790264E-2</v>
      </c>
      <c r="D7" s="81" t="s">
        <v>61</v>
      </c>
      <c r="E7" s="15">
        <v>2405000</v>
      </c>
      <c r="F7" s="16">
        <f t="shared" si="0"/>
        <v>2.6652629245858036E-2</v>
      </c>
      <c r="G7" s="66" t="s">
        <v>96</v>
      </c>
      <c r="H7" s="64">
        <v>43700</v>
      </c>
      <c r="I7" s="3">
        <f t="shared" si="4"/>
        <v>4.8429101789771155E-4</v>
      </c>
      <c r="J7" s="78" t="s">
        <v>13</v>
      </c>
      <c r="K7" s="142">
        <f>E2*20%</f>
        <v>4873922.6000000006</v>
      </c>
      <c r="L7" s="101">
        <f t="shared" si="5"/>
        <v>5.4013659888070047E-2</v>
      </c>
      <c r="M7" s="61" t="s">
        <v>43</v>
      </c>
      <c r="N7" s="15">
        <v>2640000</v>
      </c>
      <c r="O7" s="87">
        <f t="shared" si="3"/>
        <v>2.9256940211669531E-2</v>
      </c>
      <c r="P7" s="107"/>
      <c r="Q7" s="20"/>
      <c r="R7" s="10">
        <f t="shared" si="6"/>
        <v>0</v>
      </c>
      <c r="S7" s="21"/>
    </row>
    <row r="8" spans="1:20" ht="18" customHeight="1" outlineLevel="1" thickTop="1" thickBot="1" x14ac:dyDescent="0.4">
      <c r="A8" s="52" t="s">
        <v>33</v>
      </c>
      <c r="B8" s="13">
        <v>5702000</v>
      </c>
      <c r="C8" s="3">
        <f t="shared" si="1"/>
        <v>6.3190557987477136E-2</v>
      </c>
      <c r="D8" s="81" t="s">
        <v>62</v>
      </c>
      <c r="E8" s="15">
        <v>3500000</v>
      </c>
      <c r="F8" s="16">
        <f t="shared" si="0"/>
        <v>3.8787610129107329E-2</v>
      </c>
      <c r="G8" s="65" t="s">
        <v>23</v>
      </c>
      <c r="H8" s="67">
        <v>1315000</v>
      </c>
      <c r="I8" s="3">
        <f t="shared" si="4"/>
        <v>1.4573059234221754E-2</v>
      </c>
      <c r="J8" s="76" t="s">
        <v>14</v>
      </c>
      <c r="K8" s="143">
        <v>165000</v>
      </c>
      <c r="L8" s="101">
        <f t="shared" si="5"/>
        <v>1.8285587632293457E-3</v>
      </c>
      <c r="M8" s="62"/>
      <c r="N8" s="15"/>
      <c r="O8" s="87">
        <f t="shared" si="3"/>
        <v>0</v>
      </c>
      <c r="P8" s="109"/>
      <c r="Q8" s="20"/>
      <c r="R8" s="10">
        <f t="shared" si="6"/>
        <v>0</v>
      </c>
      <c r="S8" s="21"/>
    </row>
    <row r="9" spans="1:20" ht="18" customHeight="1" outlineLevel="1" thickTop="1" thickBot="1" x14ac:dyDescent="0.4">
      <c r="A9" s="51" t="s">
        <v>17</v>
      </c>
      <c r="B9" s="13">
        <v>648000</v>
      </c>
      <c r="C9" s="3">
        <f t="shared" si="1"/>
        <v>7.181248961046157E-3</v>
      </c>
      <c r="D9" s="58" t="s">
        <v>75</v>
      </c>
      <c r="E9" s="15">
        <v>987613</v>
      </c>
      <c r="F9" s="16">
        <f t="shared" si="0"/>
        <v>1.0944899429268023E-2</v>
      </c>
      <c r="G9" s="65" t="s">
        <v>25</v>
      </c>
      <c r="H9" s="146">
        <v>300000</v>
      </c>
      <c r="I9" s="3">
        <f t="shared" si="4"/>
        <v>3.3246522967806283E-3</v>
      </c>
      <c r="J9" s="76" t="s">
        <v>16</v>
      </c>
      <c r="K9" s="108"/>
      <c r="L9" s="101">
        <f t="shared" si="5"/>
        <v>0</v>
      </c>
      <c r="M9" s="62"/>
      <c r="N9" s="15"/>
      <c r="O9" s="87">
        <f t="shared" si="3"/>
        <v>0</v>
      </c>
      <c r="P9" s="109"/>
      <c r="Q9" s="20"/>
      <c r="R9" s="10">
        <f t="shared" si="6"/>
        <v>0</v>
      </c>
      <c r="S9" s="21"/>
    </row>
    <row r="10" spans="1:20" ht="18" customHeight="1" outlineLevel="1" thickTop="1" thickBot="1" x14ac:dyDescent="0.4">
      <c r="A10" s="52" t="s">
        <v>38</v>
      </c>
      <c r="B10" s="13">
        <f>((11.5*119210)+(11.5*8750))*1.1</f>
        <v>1618694.0000000002</v>
      </c>
      <c r="C10" s="3">
        <f t="shared" si="1"/>
        <v>1.7938649082950078E-2</v>
      </c>
      <c r="D10" s="58"/>
      <c r="E10" s="15"/>
      <c r="F10" s="16">
        <f t="shared" si="0"/>
        <v>0</v>
      </c>
      <c r="G10" s="66" t="s">
        <v>69</v>
      </c>
      <c r="H10" s="67"/>
      <c r="I10" s="3">
        <f t="shared" si="4"/>
        <v>0</v>
      </c>
      <c r="J10" s="78" t="s">
        <v>19</v>
      </c>
      <c r="K10" s="142">
        <v>90873</v>
      </c>
      <c r="L10" s="101">
        <f t="shared" si="5"/>
        <v>1.00707042721782E-3</v>
      </c>
      <c r="M10" s="62"/>
      <c r="N10" s="15"/>
      <c r="O10" s="87">
        <f t="shared" si="3"/>
        <v>0</v>
      </c>
      <c r="P10" s="107"/>
      <c r="Q10" s="20"/>
      <c r="R10" s="10">
        <f t="shared" si="6"/>
        <v>0</v>
      </c>
      <c r="S10" s="21"/>
    </row>
    <row r="11" spans="1:20" s="23" customFormat="1" ht="18" customHeight="1" thickTop="1" thickBot="1" x14ac:dyDescent="0.4">
      <c r="A11" s="51" t="s">
        <v>20</v>
      </c>
      <c r="B11" s="13">
        <v>720000</v>
      </c>
      <c r="C11" s="3">
        <f t="shared" si="1"/>
        <v>7.9791655122735082E-3</v>
      </c>
      <c r="D11" s="59"/>
      <c r="E11" s="15"/>
      <c r="F11" s="16">
        <f>E11/E$1</f>
        <v>0</v>
      </c>
      <c r="G11" s="76" t="s">
        <v>10</v>
      </c>
      <c r="H11" s="64"/>
      <c r="I11" s="3">
        <f>H11/E$1</f>
        <v>0</v>
      </c>
      <c r="J11" s="78" t="s">
        <v>98</v>
      </c>
      <c r="K11" s="142">
        <v>20200</v>
      </c>
      <c r="L11" s="101">
        <f t="shared" si="5"/>
        <v>2.2385992131656232E-4</v>
      </c>
      <c r="M11" s="62"/>
      <c r="N11" s="15"/>
      <c r="O11" s="87">
        <f t="shared" si="3"/>
        <v>0</v>
      </c>
      <c r="P11" s="107"/>
      <c r="Q11" s="20"/>
      <c r="R11" s="10">
        <f t="shared" si="6"/>
        <v>0</v>
      </c>
      <c r="S11" s="21"/>
    </row>
    <row r="12" spans="1:20" s="23" customFormat="1" ht="18" customHeight="1" thickTop="1" thickBot="1" x14ac:dyDescent="0.4">
      <c r="A12" s="53" t="s">
        <v>27</v>
      </c>
      <c r="B12" s="13">
        <v>133600</v>
      </c>
      <c r="C12" s="3">
        <f t="shared" si="1"/>
        <v>1.4805784894996398E-3</v>
      </c>
      <c r="D12" s="58"/>
      <c r="E12" s="15"/>
      <c r="F12" s="16">
        <f>E12/E$1</f>
        <v>0</v>
      </c>
      <c r="G12" s="66" t="s">
        <v>55</v>
      </c>
      <c r="H12" s="67">
        <v>1177150</v>
      </c>
      <c r="I12" s="3">
        <f t="shared" si="4"/>
        <v>1.3045381503851056E-2</v>
      </c>
      <c r="J12" s="78" t="s">
        <v>71</v>
      </c>
      <c r="K12" s="110"/>
      <c r="L12" s="101">
        <f t="shared" si="5"/>
        <v>0</v>
      </c>
      <c r="M12" s="62"/>
      <c r="N12" s="15"/>
      <c r="O12" s="87">
        <f t="shared" si="3"/>
        <v>0</v>
      </c>
      <c r="P12" s="111"/>
      <c r="Q12" s="20"/>
      <c r="R12" s="10">
        <f t="shared" si="6"/>
        <v>0</v>
      </c>
      <c r="S12" s="21"/>
      <c r="T12" s="44"/>
    </row>
    <row r="13" spans="1:20" s="23" customFormat="1" ht="18" customHeight="1" thickTop="1" thickBot="1" x14ac:dyDescent="0.4">
      <c r="A13" s="54" t="s">
        <v>39</v>
      </c>
      <c r="B13" s="24">
        <v>60000</v>
      </c>
      <c r="C13" s="3">
        <f t="shared" si="1"/>
        <v>6.6493045935612572E-4</v>
      </c>
      <c r="D13" s="58"/>
      <c r="E13" s="15"/>
      <c r="F13" s="16">
        <f t="shared" ref="F13:F16" si="7">E13/E$1</f>
        <v>0</v>
      </c>
      <c r="G13" s="66" t="s">
        <v>56</v>
      </c>
      <c r="H13" s="67">
        <v>1495550</v>
      </c>
      <c r="I13" s="3">
        <f>H13/E$1</f>
        <v>1.6573945808167564E-2</v>
      </c>
      <c r="J13" s="79" t="s">
        <v>21</v>
      </c>
      <c r="K13" s="142">
        <f>E1*1.8%</f>
        <v>1624230.0000000002</v>
      </c>
      <c r="L13" s="101">
        <f t="shared" si="5"/>
        <v>1.8000000000000002E-2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  <c r="T13" s="44"/>
    </row>
    <row r="14" spans="1:20" s="26" customFormat="1" ht="18" customHeight="1" thickTop="1" thickBot="1" x14ac:dyDescent="0.4">
      <c r="A14" s="55" t="s">
        <v>30</v>
      </c>
      <c r="B14" s="13">
        <v>25800</v>
      </c>
      <c r="C14" s="3">
        <f t="shared" si="1"/>
        <v>2.8592009752313405E-4</v>
      </c>
      <c r="D14" s="58"/>
      <c r="E14" s="15"/>
      <c r="F14" s="16">
        <f t="shared" si="7"/>
        <v>0</v>
      </c>
      <c r="G14" s="47" t="s">
        <v>70</v>
      </c>
      <c r="H14" s="67"/>
      <c r="I14" s="3">
        <f t="shared" si="4"/>
        <v>0</v>
      </c>
      <c r="J14" s="80"/>
      <c r="K14" s="145"/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  <c r="T14" s="45"/>
    </row>
    <row r="15" spans="1:20" ht="18" customHeight="1" outlineLevel="1" thickTop="1" thickBot="1" x14ac:dyDescent="0.4">
      <c r="A15" s="56" t="s">
        <v>40</v>
      </c>
      <c r="B15" s="13">
        <v>558800</v>
      </c>
      <c r="C15" s="3">
        <f t="shared" si="1"/>
        <v>6.1927190114700508E-3</v>
      </c>
      <c r="D15" s="59"/>
      <c r="E15" s="15"/>
      <c r="F15" s="16">
        <f t="shared" si="7"/>
        <v>0</v>
      </c>
      <c r="G15" s="71" t="s">
        <v>72</v>
      </c>
      <c r="H15" s="67">
        <v>500000</v>
      </c>
      <c r="I15" s="3">
        <f t="shared" si="4"/>
        <v>5.5410871613010473E-3</v>
      </c>
      <c r="J15" s="60"/>
      <c r="K15" s="145"/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  <c r="T15" s="46"/>
    </row>
    <row r="16" spans="1:20" ht="18" customHeight="1" outlineLevel="1" thickTop="1" thickBot="1" x14ac:dyDescent="0.4">
      <c r="A16" s="63" t="s">
        <v>64</v>
      </c>
      <c r="B16" s="13">
        <f>200000+400000+120000</f>
        <v>720000</v>
      </c>
      <c r="C16" s="3">
        <f t="shared" si="1"/>
        <v>7.9791655122735082E-3</v>
      </c>
      <c r="D16" s="58" t="s">
        <v>28</v>
      </c>
      <c r="E16" s="15">
        <v>6217000</v>
      </c>
      <c r="F16" s="16">
        <f t="shared" si="7"/>
        <v>6.8897877763617221E-2</v>
      </c>
      <c r="G16" s="71" t="s">
        <v>74</v>
      </c>
      <c r="H16" s="67">
        <v>25000</v>
      </c>
      <c r="I16" s="3">
        <f t="shared" si="4"/>
        <v>2.7705435806505237E-4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  <c r="T16" s="46"/>
    </row>
    <row r="17" spans="1:19" ht="18" customHeight="1" thickTop="1" thickBot="1" x14ac:dyDescent="0.4">
      <c r="A17" s="48" t="s">
        <v>47</v>
      </c>
      <c r="B17" s="13">
        <v>1072260</v>
      </c>
      <c r="C17" s="3">
        <f t="shared" si="1"/>
        <v>1.1882972239153322E-2</v>
      </c>
      <c r="D17" s="17"/>
      <c r="E17" s="15"/>
      <c r="F17" s="16"/>
      <c r="G17" s="62" t="s">
        <v>48</v>
      </c>
      <c r="H17" s="15">
        <v>771870</v>
      </c>
      <c r="I17" s="3">
        <f t="shared" si="4"/>
        <v>8.5539978943868795E-3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s="28" customFormat="1" ht="18" customHeight="1" outlineLevel="1" thickTop="1" thickBot="1" x14ac:dyDescent="0.4">
      <c r="A18" s="62" t="s">
        <v>97</v>
      </c>
      <c r="B18" s="15">
        <f>19500+19500+49800+22800+49280+9900+151060</f>
        <v>321840</v>
      </c>
      <c r="C18" s="3">
        <f t="shared" si="1"/>
        <v>3.5666869839862583E-3</v>
      </c>
      <c r="D18" s="17"/>
      <c r="E18" s="15"/>
      <c r="F18" s="16"/>
      <c r="G18" s="62" t="s">
        <v>46</v>
      </c>
      <c r="H18" s="15">
        <f>50000+4000+323000+30000</f>
        <v>407000</v>
      </c>
      <c r="I18" s="3">
        <f t="shared" si="4"/>
        <v>4.5104449492990523E-3</v>
      </c>
      <c r="J18" s="61"/>
      <c r="K18" s="145"/>
      <c r="L18" s="3"/>
      <c r="M18" s="3"/>
      <c r="N18" s="3"/>
      <c r="O18" s="87">
        <f t="shared" si="3"/>
        <v>0</v>
      </c>
      <c r="P18" s="109"/>
      <c r="Q18" s="20"/>
      <c r="R18" s="10">
        <f t="shared" si="6"/>
        <v>0</v>
      </c>
      <c r="S18" s="27"/>
    </row>
    <row r="19" spans="1:19" s="28" customFormat="1" ht="18" customHeight="1" outlineLevel="1" thickTop="1" thickBot="1" x14ac:dyDescent="0.4">
      <c r="A19" s="62" t="s">
        <v>95</v>
      </c>
      <c r="B19" s="15">
        <f>18050+131600+83400</f>
        <v>233050</v>
      </c>
      <c r="C19" s="3">
        <f t="shared" si="1"/>
        <v>2.5827007258824182E-3</v>
      </c>
      <c r="D19" s="14"/>
      <c r="E19" s="15"/>
      <c r="F19" s="16"/>
      <c r="G19" s="147" t="s">
        <v>97</v>
      </c>
      <c r="H19" s="64">
        <v>18000</v>
      </c>
      <c r="I19" s="82">
        <f>H19/E$1</f>
        <v>1.9947913780683771E-4</v>
      </c>
      <c r="J19" s="62"/>
      <c r="K19" s="145"/>
      <c r="L19" s="3"/>
      <c r="M19" s="3"/>
      <c r="N19" s="3"/>
      <c r="O19" s="87">
        <f t="shared" si="3"/>
        <v>0</v>
      </c>
      <c r="P19" s="107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48"/>
      <c r="B20" s="13"/>
      <c r="C20" s="3">
        <f t="shared" si="1"/>
        <v>0</v>
      </c>
      <c r="D20" s="17"/>
      <c r="E20" s="15"/>
      <c r="F20" s="16"/>
      <c r="G20" s="76"/>
      <c r="H20" s="67"/>
      <c r="I20" s="3">
        <f t="shared" si="4"/>
        <v>0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25"/>
      <c r="B21" s="13"/>
      <c r="C21" s="3">
        <f t="shared" si="1"/>
        <v>0</v>
      </c>
      <c r="D21" s="17"/>
      <c r="E21" s="15"/>
      <c r="F21" s="16"/>
      <c r="G21" s="71"/>
      <c r="H21" s="67"/>
      <c r="I21" s="3">
        <f t="shared" si="4"/>
        <v>0</v>
      </c>
      <c r="J21" s="62"/>
      <c r="K21" s="145"/>
      <c r="L21" s="3"/>
      <c r="M21" s="3"/>
      <c r="N21" s="3"/>
      <c r="O21" s="87">
        <f t="shared" si="3"/>
        <v>0</v>
      </c>
      <c r="P21" s="113"/>
      <c r="Q21" s="114"/>
      <c r="R21" s="114"/>
      <c r="S21" s="98">
        <f>SUM(S6:S20)</f>
        <v>0</v>
      </c>
    </row>
    <row r="22" spans="1:19" s="28" customFormat="1" ht="18" customHeight="1" outlineLevel="1" thickTop="1" thickBot="1" x14ac:dyDescent="0.35">
      <c r="A22" s="25"/>
      <c r="B22" s="13"/>
      <c r="C22" s="3">
        <f t="shared" si="1"/>
        <v>0</v>
      </c>
      <c r="D22" s="17"/>
      <c r="E22" s="15"/>
      <c r="F22" s="16"/>
      <c r="G22" s="71"/>
      <c r="H22" s="67"/>
      <c r="I22" s="3">
        <f t="shared" si="4"/>
        <v>0</v>
      </c>
      <c r="J22" s="62"/>
      <c r="K22" s="145"/>
      <c r="L22" s="3"/>
      <c r="M22" s="3"/>
      <c r="N22" s="3"/>
      <c r="O22" s="87">
        <f t="shared" si="3"/>
        <v>0</v>
      </c>
      <c r="P22" s="106" t="s">
        <v>29</v>
      </c>
      <c r="Q22" s="115">
        <f>Q2-Q5</f>
        <v>7428777.3999999985</v>
      </c>
      <c r="R22" s="10">
        <f>Q22/E1</f>
        <v>8.232700615060673E-2</v>
      </c>
      <c r="S22" s="22"/>
    </row>
    <row r="23" spans="1:19" s="28" customFormat="1" ht="18" customHeight="1" outlineLevel="1" thickTop="1" thickBot="1" x14ac:dyDescent="0.35">
      <c r="A23" s="25"/>
      <c r="B23" s="13"/>
      <c r="C23" s="3">
        <f t="shared" si="1"/>
        <v>0</v>
      </c>
      <c r="D23" s="14"/>
      <c r="E23" s="15"/>
      <c r="F23" s="3"/>
      <c r="G23" s="72"/>
      <c r="H23" s="73"/>
      <c r="I23" s="3">
        <f t="shared" si="4"/>
        <v>0</v>
      </c>
      <c r="J23" s="62"/>
      <c r="K23" s="145"/>
      <c r="L23" s="3"/>
      <c r="M23" s="3"/>
      <c r="N23" s="3"/>
      <c r="O23" s="87">
        <f t="shared" si="3"/>
        <v>0</v>
      </c>
      <c r="P23" s="113"/>
      <c r="Q23" s="114"/>
      <c r="R23" s="114"/>
      <c r="S23" s="22"/>
    </row>
    <row r="24" spans="1:19" s="26" customFormat="1" ht="18" customHeight="1" thickTop="1" x14ac:dyDescent="0.25">
      <c r="G24" s="29"/>
      <c r="H24" s="30"/>
    </row>
    <row r="25" spans="1:19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6"/>
      <c r="N25" s="36"/>
      <c r="O25" s="36"/>
      <c r="P25" s="35"/>
      <c r="Q25" s="37"/>
      <c r="R25" s="36"/>
      <c r="S25" s="35"/>
    </row>
    <row r="26" spans="1:19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6"/>
      <c r="N26" s="36"/>
      <c r="O26" s="36"/>
      <c r="P26" s="38"/>
      <c r="Q26" s="35"/>
      <c r="R26" s="36"/>
      <c r="S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6"/>
      <c r="N27" s="36"/>
      <c r="O27" s="36"/>
      <c r="P27" s="38"/>
      <c r="Q27" s="35"/>
      <c r="R27" s="36"/>
      <c r="S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6"/>
      <c r="N28" s="36"/>
      <c r="O28" s="36"/>
      <c r="P28" s="38"/>
      <c r="Q28" s="35"/>
      <c r="R28" s="36"/>
      <c r="S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6"/>
      <c r="N29" s="36"/>
      <c r="O29" s="36"/>
      <c r="P29" s="38"/>
      <c r="Q29" s="35"/>
      <c r="R29" s="36"/>
      <c r="S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6"/>
      <c r="N30" s="36"/>
      <c r="O30" s="36"/>
      <c r="P30" s="38"/>
      <c r="Q30" s="35"/>
      <c r="R30" s="36"/>
      <c r="S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6"/>
      <c r="N31" s="36"/>
      <c r="O31" s="36"/>
      <c r="P31" s="38"/>
      <c r="Q31" s="35"/>
      <c r="R31" s="36"/>
      <c r="S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6"/>
      <c r="N32" s="36"/>
      <c r="O32" s="36"/>
      <c r="P32" s="38"/>
      <c r="Q32" s="35"/>
      <c r="R32" s="36"/>
      <c r="S32" s="35"/>
    </row>
    <row r="33" spans="1:19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6"/>
      <c r="N33" s="36"/>
      <c r="O33" s="36"/>
      <c r="P33" s="38"/>
      <c r="Q33" s="35"/>
      <c r="R33" s="36"/>
      <c r="S33" s="35"/>
    </row>
    <row r="34" spans="1:19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6"/>
      <c r="N34" s="36"/>
      <c r="O34" s="36"/>
      <c r="P34" s="38"/>
      <c r="Q34" s="35"/>
      <c r="R34" s="36"/>
      <c r="S34" s="36"/>
    </row>
    <row r="35" spans="1:19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6"/>
      <c r="N35" s="36"/>
      <c r="O35" s="36"/>
      <c r="P35" s="38"/>
      <c r="Q35" s="35"/>
      <c r="R35" s="36"/>
      <c r="S35" s="36"/>
    </row>
    <row r="36" spans="1:19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6"/>
      <c r="N36" s="36"/>
      <c r="O36" s="36"/>
      <c r="P36" s="38"/>
      <c r="Q36" s="35"/>
      <c r="R36" s="36"/>
      <c r="S36" s="36"/>
    </row>
    <row r="37" spans="1:19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6"/>
      <c r="N37" s="36"/>
      <c r="O37" s="36"/>
      <c r="P37" s="38"/>
      <c r="Q37" s="35"/>
      <c r="R37" s="36"/>
      <c r="S37" s="36"/>
    </row>
    <row r="38" spans="1:19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42"/>
      <c r="O38" s="42"/>
      <c r="P38" s="42"/>
      <c r="Q38" s="35"/>
      <c r="R38" s="42"/>
      <c r="S38" s="42"/>
    </row>
    <row r="39" spans="1:19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2"/>
      <c r="N39" s="42"/>
      <c r="O39" s="42"/>
      <c r="P39" s="43"/>
      <c r="Q39" s="35"/>
      <c r="R39" s="42"/>
      <c r="S39" s="42"/>
    </row>
    <row r="40" spans="1:19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42"/>
      <c r="O40" s="42"/>
      <c r="P40" s="42"/>
      <c r="Q40" s="35"/>
      <c r="R40" s="42"/>
      <c r="S40" s="35"/>
    </row>
    <row r="41" spans="1:19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</row>
    <row r="43" spans="1:19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19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4"/>
  <sheetViews>
    <sheetView zoomScale="85" zoomScaleNormal="85" workbookViewId="0">
      <selection activeCell="K14" sqref="K14"/>
    </sheetView>
  </sheetViews>
  <sheetFormatPr defaultColWidth="8.75" defaultRowHeight="14" outlineLevelRow="1" x14ac:dyDescent="0.25"/>
  <cols>
    <col min="1" max="1" width="19.9140625" style="203" bestFit="1" customWidth="1"/>
    <col min="2" max="2" width="10.75" style="32" bestFit="1" customWidth="1"/>
    <col min="3" max="3" width="10.4140625" style="31" bestFit="1" customWidth="1"/>
    <col min="4" max="4" width="10.4140625" style="203" bestFit="1" customWidth="1"/>
    <col min="5" max="5" width="11.75" style="12" customWidth="1"/>
    <col min="6" max="6" width="9.83203125" style="12" bestFit="1" customWidth="1"/>
    <col min="7" max="7" width="20.75" style="46" customWidth="1"/>
    <col min="8" max="8" width="13.58203125" style="33" customWidth="1"/>
    <col min="9" max="9" width="8.75" style="12" bestFit="1" customWidth="1"/>
    <col min="10" max="10" width="20.9140625" style="46" customWidth="1"/>
    <col min="11" max="11" width="10.75" style="12" bestFit="1" customWidth="1"/>
    <col min="12" max="12" width="8.75" style="12" bestFit="1" customWidth="1"/>
    <col min="13" max="13" width="24.08203125" style="46" customWidth="1"/>
    <col min="14" max="14" width="11.1640625" style="12" bestFit="1" customWidth="1"/>
    <col min="15" max="15" width="7.58203125" style="12" bestFit="1" customWidth="1"/>
    <col min="16" max="16" width="21.9140625" style="46" bestFit="1" customWidth="1"/>
    <col min="17" max="17" width="13" style="12" bestFit="1" customWidth="1"/>
    <col min="18" max="18" width="8" style="12" bestFit="1" customWidth="1"/>
    <col min="19" max="16384" width="8.75" style="12"/>
  </cols>
  <sheetData>
    <row r="1" spans="1:19" s="4" customFormat="1" ht="34.5" customHeight="1" x14ac:dyDescent="0.25">
      <c r="A1" s="225" t="s">
        <v>50</v>
      </c>
      <c r="B1" s="226"/>
      <c r="C1" s="226"/>
      <c r="D1" s="204" t="s">
        <v>0</v>
      </c>
      <c r="E1" s="165">
        <v>105837000</v>
      </c>
      <c r="F1" s="166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">
      <c r="A2" s="198" t="s">
        <v>1</v>
      </c>
      <c r="B2" s="167">
        <f>SUM(B3:B23)</f>
        <v>36951118</v>
      </c>
      <c r="C2" s="168">
        <f t="shared" ref="C2:C23" si="1">B2/E$1</f>
        <v>0.34913232612413431</v>
      </c>
      <c r="D2" s="205" t="s">
        <v>44</v>
      </c>
      <c r="E2" s="167">
        <f>SUM(E3:E23)</f>
        <v>25822093</v>
      </c>
      <c r="F2" s="169">
        <f t="shared" si="0"/>
        <v>0.24397982747054434</v>
      </c>
      <c r="G2" s="205" t="s">
        <v>2</v>
      </c>
      <c r="H2" s="167">
        <f>SUM(H3:H23)</f>
        <v>12031091</v>
      </c>
      <c r="I2" s="169">
        <f>H2/E$1</f>
        <v>0.11367566163062068</v>
      </c>
      <c r="J2" s="97" t="s">
        <v>3</v>
      </c>
      <c r="K2" s="170">
        <f>SUM(K3:K23)</f>
        <v>12637407.600000001</v>
      </c>
      <c r="L2" s="169">
        <f t="shared" ref="L2" si="2">K2/E$1</f>
        <v>0.11940443890132942</v>
      </c>
      <c r="M2" s="75" t="s">
        <v>22</v>
      </c>
      <c r="N2" s="167">
        <f>SUM(N3:N23)</f>
        <v>2686861</v>
      </c>
      <c r="O2" s="169">
        <f>N2/E$1</f>
        <v>2.5386783450022203E-2</v>
      </c>
      <c r="P2" s="89" t="s">
        <v>4</v>
      </c>
      <c r="Q2" s="171">
        <f>E1-B2-E2-H2-K2-N2</f>
        <v>15708429.399999999</v>
      </c>
      <c r="R2" s="172">
        <f>Q2/E1</f>
        <v>0.1484209624233491</v>
      </c>
      <c r="S2" s="11"/>
    </row>
    <row r="3" spans="1:19" ht="18" customHeight="1" outlineLevel="1" thickTop="1" thickBot="1" x14ac:dyDescent="0.3">
      <c r="A3" s="199" t="s">
        <v>5</v>
      </c>
      <c r="B3" s="173">
        <v>1097416</v>
      </c>
      <c r="C3" s="174">
        <f t="shared" si="1"/>
        <v>1.0368925800995871E-2</v>
      </c>
      <c r="D3" s="206" t="s">
        <v>35</v>
      </c>
      <c r="E3" s="175">
        <v>2500000</v>
      </c>
      <c r="F3" s="176">
        <f t="shared" si="0"/>
        <v>2.3621228870810775E-2</v>
      </c>
      <c r="G3" s="210" t="s">
        <v>37</v>
      </c>
      <c r="H3" s="140">
        <v>5500000</v>
      </c>
      <c r="I3" s="177">
        <f>H3/E$1</f>
        <v>5.1966703515783703E-2</v>
      </c>
      <c r="J3" s="100" t="s">
        <v>6</v>
      </c>
      <c r="K3" s="141">
        <f>E1*5%</f>
        <v>5291850</v>
      </c>
      <c r="L3" s="178">
        <f>K3/E$1</f>
        <v>0.05</v>
      </c>
      <c r="M3" s="69" t="s">
        <v>24</v>
      </c>
      <c r="N3" s="179">
        <v>1595000</v>
      </c>
      <c r="O3" s="169">
        <f t="shared" ref="O3:O23" si="3">N3/E$1</f>
        <v>1.5070344019577275E-2</v>
      </c>
      <c r="P3" s="102"/>
      <c r="Q3" s="180"/>
      <c r="R3" s="180"/>
      <c r="S3" s="11"/>
    </row>
    <row r="4" spans="1:19" ht="18" customHeight="1" outlineLevel="1" thickTop="1" thickBot="1" x14ac:dyDescent="0.3">
      <c r="A4" s="200" t="s">
        <v>7</v>
      </c>
      <c r="B4" s="181">
        <v>8529380</v>
      </c>
      <c r="C4" s="177">
        <f t="shared" si="1"/>
        <v>8.0589774842446407E-2</v>
      </c>
      <c r="D4" s="207" t="s">
        <v>36</v>
      </c>
      <c r="E4" s="179">
        <v>2500000</v>
      </c>
      <c r="F4" s="182">
        <f>E4/E$1</f>
        <v>2.3621228870810775E-2</v>
      </c>
      <c r="G4" s="160" t="s">
        <v>8</v>
      </c>
      <c r="H4" s="64"/>
      <c r="I4" s="177">
        <f t="shared" ref="I4:I23" si="4">H4/E$1</f>
        <v>0</v>
      </c>
      <c r="J4" s="77" t="s">
        <v>9</v>
      </c>
      <c r="K4" s="193"/>
      <c r="L4" s="178">
        <f t="shared" ref="L4:L13" si="5">K4/E$1</f>
        <v>0</v>
      </c>
      <c r="M4" s="60" t="s">
        <v>26</v>
      </c>
      <c r="N4" s="179">
        <v>225000</v>
      </c>
      <c r="O4" s="169">
        <f t="shared" si="3"/>
        <v>2.1259105983729696E-3</v>
      </c>
      <c r="P4" s="104"/>
      <c r="Q4" s="183"/>
      <c r="R4" s="183"/>
      <c r="S4" s="11"/>
    </row>
    <row r="5" spans="1:19" ht="18" customHeight="1" outlineLevel="1" thickTop="1" thickBot="1" x14ac:dyDescent="0.3">
      <c r="A5" s="47" t="s">
        <v>31</v>
      </c>
      <c r="B5" s="181">
        <v>2698000</v>
      </c>
      <c r="C5" s="177">
        <f t="shared" si="1"/>
        <v>2.5492030197378987E-2</v>
      </c>
      <c r="D5" s="207" t="s">
        <v>34</v>
      </c>
      <c r="E5" s="179">
        <v>3478365</v>
      </c>
      <c r="F5" s="182">
        <f>E5/E$1</f>
        <v>3.2865302304487087E-2</v>
      </c>
      <c r="G5" s="210" t="s">
        <v>59</v>
      </c>
      <c r="H5" s="64">
        <v>150000</v>
      </c>
      <c r="I5" s="177">
        <f t="shared" si="4"/>
        <v>1.4172737322486464E-3</v>
      </c>
      <c r="J5" s="162"/>
      <c r="K5" s="162"/>
      <c r="L5" s="178">
        <f t="shared" si="5"/>
        <v>0</v>
      </c>
      <c r="M5" s="61" t="s">
        <v>41</v>
      </c>
      <c r="N5" s="179"/>
      <c r="O5" s="169">
        <f t="shared" si="3"/>
        <v>0</v>
      </c>
      <c r="P5" s="106" t="s">
        <v>11</v>
      </c>
      <c r="Q5" s="184">
        <f>SUM(Q6:Q20)</f>
        <v>1980792</v>
      </c>
      <c r="R5" s="185">
        <f t="shared" ref="R5:R20" si="6">Q5/E$1</f>
        <v>1.8715496470988406E-2</v>
      </c>
      <c r="S5" s="19"/>
    </row>
    <row r="6" spans="1:19" ht="18" customHeight="1" outlineLevel="1" thickTop="1" thickBot="1" x14ac:dyDescent="0.3">
      <c r="A6" s="200" t="s">
        <v>12</v>
      </c>
      <c r="B6" s="181">
        <v>1147700</v>
      </c>
      <c r="C6" s="177">
        <f t="shared" si="1"/>
        <v>1.0844033750011811E-2</v>
      </c>
      <c r="D6" s="69" t="s">
        <v>49</v>
      </c>
      <c r="E6" s="179">
        <v>3175135</v>
      </c>
      <c r="F6" s="182">
        <f t="shared" si="0"/>
        <v>3.0000236212288707E-2</v>
      </c>
      <c r="G6" s="160" t="s">
        <v>15</v>
      </c>
      <c r="H6" s="64">
        <v>110000</v>
      </c>
      <c r="I6" s="177">
        <f t="shared" si="4"/>
        <v>1.0393340703156741E-3</v>
      </c>
      <c r="J6" s="160"/>
      <c r="K6" s="161"/>
      <c r="L6" s="178">
        <f t="shared" si="5"/>
        <v>0</v>
      </c>
      <c r="M6" s="61" t="s">
        <v>42</v>
      </c>
      <c r="N6" s="179">
        <v>251125</v>
      </c>
      <c r="O6" s="169">
        <f t="shared" si="3"/>
        <v>2.3727524400729422E-3</v>
      </c>
      <c r="P6" s="107" t="s">
        <v>57</v>
      </c>
      <c r="Q6" s="186">
        <v>68602</v>
      </c>
      <c r="R6" s="185">
        <f t="shared" si="6"/>
        <v>6.4818541719814432E-4</v>
      </c>
      <c r="S6" s="21"/>
    </row>
    <row r="7" spans="1:19" ht="18" customHeight="1" outlineLevel="1" thickTop="1" thickBot="1" x14ac:dyDescent="0.3">
      <c r="A7" s="47" t="s">
        <v>32</v>
      </c>
      <c r="B7" s="181">
        <v>7174000</v>
      </c>
      <c r="C7" s="177">
        <f t="shared" si="1"/>
        <v>6.7783478367678604E-2</v>
      </c>
      <c r="D7" s="207" t="s">
        <v>52</v>
      </c>
      <c r="E7" s="179">
        <v>1522568</v>
      </c>
      <c r="F7" s="182">
        <f t="shared" si="0"/>
        <v>1.4385970879749048E-2</v>
      </c>
      <c r="G7" s="160" t="s">
        <v>18</v>
      </c>
      <c r="H7" s="64">
        <v>43700</v>
      </c>
      <c r="I7" s="177">
        <f t="shared" si="4"/>
        <v>4.1289908066177234E-4</v>
      </c>
      <c r="J7" s="78" t="s">
        <v>13</v>
      </c>
      <c r="K7" s="142">
        <f>E2*20%</f>
        <v>5164418.6000000006</v>
      </c>
      <c r="L7" s="178">
        <f t="shared" si="5"/>
        <v>4.8795965494108869E-2</v>
      </c>
      <c r="M7" s="61" t="s">
        <v>43</v>
      </c>
      <c r="N7" s="179"/>
      <c r="O7" s="169">
        <f t="shared" si="3"/>
        <v>0</v>
      </c>
      <c r="P7" s="107" t="s">
        <v>58</v>
      </c>
      <c r="Q7" s="186">
        <v>1912190</v>
      </c>
      <c r="R7" s="185">
        <f t="shared" si="6"/>
        <v>1.8067311053790263E-2</v>
      </c>
      <c r="S7" s="21"/>
    </row>
    <row r="8" spans="1:19" ht="18" customHeight="1" outlineLevel="1" thickTop="1" thickBot="1" x14ac:dyDescent="0.3">
      <c r="A8" s="47" t="s">
        <v>33</v>
      </c>
      <c r="B8" s="181">
        <v>6698000</v>
      </c>
      <c r="C8" s="177">
        <f t="shared" si="1"/>
        <v>6.3285996390676225E-2</v>
      </c>
      <c r="D8" s="69" t="s">
        <v>53</v>
      </c>
      <c r="E8" s="179">
        <v>3092597</v>
      </c>
      <c r="F8" s="182">
        <f t="shared" si="0"/>
        <v>2.9220376616873118E-2</v>
      </c>
      <c r="G8" s="160" t="s">
        <v>23</v>
      </c>
      <c r="H8" s="67">
        <v>1415000</v>
      </c>
      <c r="I8" s="177">
        <f t="shared" si="4"/>
        <v>1.3369615540878899E-2</v>
      </c>
      <c r="J8" s="76" t="s">
        <v>14</v>
      </c>
      <c r="K8" s="143">
        <v>165000</v>
      </c>
      <c r="L8" s="178">
        <f t="shared" si="5"/>
        <v>1.5590011054735112E-3</v>
      </c>
      <c r="M8" s="62" t="s">
        <v>101</v>
      </c>
      <c r="N8" s="179">
        <f>112860+112860</f>
        <v>225720</v>
      </c>
      <c r="O8" s="169">
        <f t="shared" si="3"/>
        <v>2.132713512287763E-3</v>
      </c>
      <c r="P8" s="109"/>
      <c r="Q8" s="186"/>
      <c r="R8" s="185">
        <f t="shared" si="6"/>
        <v>0</v>
      </c>
      <c r="S8" s="21"/>
    </row>
    <row r="9" spans="1:19" ht="18" customHeight="1" outlineLevel="1" thickTop="1" thickBot="1" x14ac:dyDescent="0.3">
      <c r="A9" s="200" t="s">
        <v>17</v>
      </c>
      <c r="B9" s="181">
        <v>1288000</v>
      </c>
      <c r="C9" s="177">
        <f t="shared" si="1"/>
        <v>1.2169657114241712E-2</v>
      </c>
      <c r="D9" s="69" t="s">
        <v>54</v>
      </c>
      <c r="E9" s="179">
        <v>2913387</v>
      </c>
      <c r="F9" s="182">
        <f t="shared" si="0"/>
        <v>2.7527112446497918E-2</v>
      </c>
      <c r="G9" s="160" t="s">
        <v>25</v>
      </c>
      <c r="H9" s="68">
        <v>300000</v>
      </c>
      <c r="I9" s="177">
        <f t="shared" si="4"/>
        <v>2.8345474644972928E-3</v>
      </c>
      <c r="J9" s="76" t="s">
        <v>16</v>
      </c>
      <c r="K9" s="108"/>
      <c r="L9" s="178">
        <f t="shared" si="5"/>
        <v>0</v>
      </c>
      <c r="M9" s="62" t="s">
        <v>141</v>
      </c>
      <c r="N9" s="179">
        <v>390016</v>
      </c>
      <c r="O9" s="169">
        <f t="shared" si="3"/>
        <v>3.6850628797112542E-3</v>
      </c>
      <c r="P9" s="109"/>
      <c r="Q9" s="186"/>
      <c r="R9" s="185">
        <f t="shared" si="6"/>
        <v>0</v>
      </c>
      <c r="S9" s="21"/>
    </row>
    <row r="10" spans="1:19" ht="18" customHeight="1" outlineLevel="1" thickTop="1" thickBot="1" x14ac:dyDescent="0.3">
      <c r="A10" s="47" t="s">
        <v>38</v>
      </c>
      <c r="B10" s="181">
        <f>((11.5*128940)+(11.5*13600))*1.1</f>
        <v>1803131.0000000002</v>
      </c>
      <c r="C10" s="177">
        <f t="shared" si="1"/>
        <v>1.7036868014021565E-2</v>
      </c>
      <c r="D10" s="69" t="s">
        <v>66</v>
      </c>
      <c r="E10" s="179">
        <v>934909</v>
      </c>
      <c r="F10" s="182">
        <f t="shared" si="0"/>
        <v>8.8334797849523323E-3</v>
      </c>
      <c r="G10" s="210" t="s">
        <v>69</v>
      </c>
      <c r="H10" s="67">
        <v>220000</v>
      </c>
      <c r="I10" s="177">
        <f t="shared" si="4"/>
        <v>2.0786681406313482E-3</v>
      </c>
      <c r="J10" s="78" t="s">
        <v>19</v>
      </c>
      <c r="K10" s="142">
        <v>90873</v>
      </c>
      <c r="L10" s="178">
        <f t="shared" si="5"/>
        <v>8.5861277247087505E-4</v>
      </c>
      <c r="M10" s="62"/>
      <c r="N10" s="179"/>
      <c r="O10" s="169">
        <f t="shared" si="3"/>
        <v>0</v>
      </c>
      <c r="P10" s="107"/>
      <c r="Q10" s="186"/>
      <c r="R10" s="185">
        <f t="shared" si="6"/>
        <v>0</v>
      </c>
      <c r="S10" s="21"/>
    </row>
    <row r="11" spans="1:19" s="23" customFormat="1" ht="18" customHeight="1" thickTop="1" thickBot="1" x14ac:dyDescent="0.3">
      <c r="A11" s="200" t="s">
        <v>20</v>
      </c>
      <c r="B11" s="181">
        <v>248000</v>
      </c>
      <c r="C11" s="177">
        <f t="shared" si="1"/>
        <v>2.343225903984429E-3</v>
      </c>
      <c r="D11" s="207" t="s">
        <v>67</v>
      </c>
      <c r="E11" s="179">
        <v>1071204</v>
      </c>
      <c r="F11" s="182">
        <f>E11/E$1</f>
        <v>1.0121261940531194E-2</v>
      </c>
      <c r="G11" s="78" t="s">
        <v>146</v>
      </c>
      <c r="H11" s="64">
        <f>27900+56000+46000+12000</f>
        <v>141900</v>
      </c>
      <c r="I11" s="177">
        <f>H11/E$1</f>
        <v>1.3407409507072195E-3</v>
      </c>
      <c r="J11" s="78" t="s">
        <v>98</v>
      </c>
      <c r="K11" s="142">
        <v>20200</v>
      </c>
      <c r="L11" s="178">
        <f t="shared" si="5"/>
        <v>1.9085952927615107E-4</v>
      </c>
      <c r="M11" s="62"/>
      <c r="N11" s="179"/>
      <c r="O11" s="169">
        <f t="shared" si="3"/>
        <v>0</v>
      </c>
      <c r="P11" s="107"/>
      <c r="Q11" s="186"/>
      <c r="R11" s="185">
        <f t="shared" si="6"/>
        <v>0</v>
      </c>
      <c r="S11" s="21"/>
    </row>
    <row r="12" spans="1:19" s="23" customFormat="1" ht="18" customHeight="1" thickTop="1" thickBot="1" x14ac:dyDescent="0.3">
      <c r="A12" s="25" t="s">
        <v>27</v>
      </c>
      <c r="B12" s="181">
        <v>170400</v>
      </c>
      <c r="C12" s="177">
        <f t="shared" si="1"/>
        <v>1.6100229598344624E-3</v>
      </c>
      <c r="D12" s="69" t="s">
        <v>68</v>
      </c>
      <c r="E12" s="179">
        <v>643928</v>
      </c>
      <c r="F12" s="182">
        <f>E12/E$1</f>
        <v>6.0841482657293762E-3</v>
      </c>
      <c r="G12" s="210" t="s">
        <v>55</v>
      </c>
      <c r="H12" s="67">
        <v>188780</v>
      </c>
      <c r="I12" s="177">
        <f t="shared" si="4"/>
        <v>1.7836862344926632E-3</v>
      </c>
      <c r="J12" s="78" t="s">
        <v>71</v>
      </c>
      <c r="K12" s="110"/>
      <c r="L12" s="178">
        <f t="shared" si="5"/>
        <v>0</v>
      </c>
      <c r="M12" s="62"/>
      <c r="N12" s="179"/>
      <c r="O12" s="169">
        <f t="shared" si="3"/>
        <v>0</v>
      </c>
      <c r="P12" s="111"/>
      <c r="Q12" s="186"/>
      <c r="R12" s="185">
        <f t="shared" si="6"/>
        <v>0</v>
      </c>
      <c r="S12" s="21"/>
    </row>
    <row r="13" spans="1:19" s="23" customFormat="1" ht="18" customHeight="1" thickTop="1" thickBot="1" x14ac:dyDescent="0.3">
      <c r="A13" s="63" t="s">
        <v>39</v>
      </c>
      <c r="B13" s="173">
        <v>60000</v>
      </c>
      <c r="C13" s="177">
        <f t="shared" si="1"/>
        <v>5.6690949289945865E-4</v>
      </c>
      <c r="D13" s="69"/>
      <c r="E13" s="179"/>
      <c r="F13" s="182">
        <f t="shared" ref="F13:F16" si="7">E13/E$1</f>
        <v>0</v>
      </c>
      <c r="G13" s="210" t="s">
        <v>56</v>
      </c>
      <c r="H13" s="67">
        <v>1636770</v>
      </c>
      <c r="I13" s="177">
        <f>H13/E$1</f>
        <v>1.546500751155078E-2</v>
      </c>
      <c r="J13" s="79" t="s">
        <v>21</v>
      </c>
      <c r="K13" s="142">
        <f>E1*1.8%</f>
        <v>1905066.0000000002</v>
      </c>
      <c r="L13" s="178">
        <f t="shared" si="5"/>
        <v>1.8000000000000002E-2</v>
      </c>
      <c r="M13" s="216"/>
      <c r="N13" s="177"/>
      <c r="O13" s="169">
        <f t="shared" si="3"/>
        <v>0</v>
      </c>
      <c r="P13" s="109"/>
      <c r="Q13" s="186"/>
      <c r="R13" s="185">
        <f t="shared" si="6"/>
        <v>0</v>
      </c>
      <c r="S13" s="21"/>
    </row>
    <row r="14" spans="1:19" s="26" customFormat="1" ht="18" customHeight="1" thickTop="1" thickBot="1" x14ac:dyDescent="0.3">
      <c r="A14" s="48" t="s">
        <v>40</v>
      </c>
      <c r="B14" s="181">
        <v>1669800</v>
      </c>
      <c r="C14" s="177">
        <f t="shared" si="1"/>
        <v>1.5777091187391932E-2</v>
      </c>
      <c r="D14" s="69"/>
      <c r="E14" s="179"/>
      <c r="F14" s="182">
        <f t="shared" si="7"/>
        <v>0</v>
      </c>
      <c r="G14" s="47" t="s">
        <v>70</v>
      </c>
      <c r="H14" s="67">
        <v>99000</v>
      </c>
      <c r="I14" s="177">
        <f t="shared" si="4"/>
        <v>9.3540066328410664E-4</v>
      </c>
      <c r="J14" s="69"/>
      <c r="K14" s="188"/>
      <c r="L14" s="177"/>
      <c r="M14" s="216"/>
      <c r="N14" s="177"/>
      <c r="O14" s="169">
        <f t="shared" si="3"/>
        <v>0</v>
      </c>
      <c r="P14" s="109"/>
      <c r="Q14" s="186"/>
      <c r="R14" s="185">
        <f t="shared" si="6"/>
        <v>0</v>
      </c>
      <c r="S14" s="21"/>
    </row>
    <row r="15" spans="1:19" ht="18" customHeight="1" outlineLevel="1" thickTop="1" thickBot="1" x14ac:dyDescent="0.3">
      <c r="A15" s="47" t="s">
        <v>51</v>
      </c>
      <c r="B15" s="181">
        <v>1200000</v>
      </c>
      <c r="C15" s="177">
        <f t="shared" si="1"/>
        <v>1.1338189857989171E-2</v>
      </c>
      <c r="D15" s="208"/>
      <c r="E15" s="179"/>
      <c r="F15" s="182">
        <f t="shared" si="7"/>
        <v>0</v>
      </c>
      <c r="G15" s="17" t="s">
        <v>72</v>
      </c>
      <c r="H15" s="67">
        <v>500000</v>
      </c>
      <c r="I15" s="177">
        <f t="shared" si="4"/>
        <v>4.7242457741621547E-3</v>
      </c>
      <c r="J15" s="60"/>
      <c r="K15" s="188"/>
      <c r="L15" s="177"/>
      <c r="M15" s="216"/>
      <c r="N15" s="177"/>
      <c r="O15" s="169">
        <f t="shared" si="3"/>
        <v>0</v>
      </c>
      <c r="P15" s="109"/>
      <c r="Q15" s="186"/>
      <c r="R15" s="185">
        <f t="shared" si="6"/>
        <v>0</v>
      </c>
      <c r="S15" s="21"/>
    </row>
    <row r="16" spans="1:19" ht="18" customHeight="1" outlineLevel="1" thickTop="1" thickBot="1" x14ac:dyDescent="0.3">
      <c r="A16" s="63" t="s">
        <v>65</v>
      </c>
      <c r="B16" s="181">
        <v>520000</v>
      </c>
      <c r="C16" s="177">
        <f t="shared" si="1"/>
        <v>4.9132156051286411E-3</v>
      </c>
      <c r="D16" s="69" t="s">
        <v>28</v>
      </c>
      <c r="E16" s="179">
        <v>3990000</v>
      </c>
      <c r="F16" s="182">
        <f t="shared" si="7"/>
        <v>3.7699481277813994E-2</v>
      </c>
      <c r="G16" s="17" t="s">
        <v>74</v>
      </c>
      <c r="H16" s="67">
        <v>25000</v>
      </c>
      <c r="I16" s="177">
        <f t="shared" si="4"/>
        <v>2.3621228870810776E-4</v>
      </c>
      <c r="J16" s="61"/>
      <c r="K16" s="188"/>
      <c r="L16" s="177"/>
      <c r="M16" s="216"/>
      <c r="N16" s="177"/>
      <c r="O16" s="169">
        <f t="shared" si="3"/>
        <v>0</v>
      </c>
      <c r="P16" s="109"/>
      <c r="Q16" s="186"/>
      <c r="R16" s="185">
        <f t="shared" si="6"/>
        <v>0</v>
      </c>
      <c r="S16" s="21"/>
    </row>
    <row r="17" spans="1:19" ht="18" customHeight="1" thickTop="1" thickBot="1" x14ac:dyDescent="0.3">
      <c r="A17" s="48" t="s">
        <v>73</v>
      </c>
      <c r="B17" s="181">
        <v>980000</v>
      </c>
      <c r="C17" s="177">
        <f t="shared" si="1"/>
        <v>9.2595217173578239E-3</v>
      </c>
      <c r="D17" s="17"/>
      <c r="E17" s="179"/>
      <c r="F17" s="182"/>
      <c r="G17" s="62" t="s">
        <v>48</v>
      </c>
      <c r="H17" s="192">
        <v>771870</v>
      </c>
      <c r="I17" s="177">
        <f t="shared" si="4"/>
        <v>7.2930071714050852E-3</v>
      </c>
      <c r="J17" s="61"/>
      <c r="K17" s="188"/>
      <c r="L17" s="177"/>
      <c r="M17" s="216"/>
      <c r="N17" s="177"/>
      <c r="O17" s="169">
        <f t="shared" si="3"/>
        <v>0</v>
      </c>
      <c r="P17" s="112"/>
      <c r="Q17" s="186"/>
      <c r="R17" s="185">
        <f t="shared" si="6"/>
        <v>0</v>
      </c>
      <c r="S17" s="21"/>
    </row>
    <row r="18" spans="1:19" s="28" customFormat="1" ht="18" customHeight="1" outlineLevel="1" thickTop="1" thickBot="1" x14ac:dyDescent="0.3">
      <c r="A18" s="62" t="s">
        <v>47</v>
      </c>
      <c r="B18" s="179">
        <v>615880</v>
      </c>
      <c r="C18" s="177">
        <f t="shared" si="1"/>
        <v>5.8191369747819764E-3</v>
      </c>
      <c r="D18" s="17"/>
      <c r="E18" s="179"/>
      <c r="F18" s="182"/>
      <c r="G18" s="62" t="s">
        <v>46</v>
      </c>
      <c r="H18" s="192">
        <f>40500+122400+7000+35137+31500+7000+29634+35000</f>
        <v>308171</v>
      </c>
      <c r="I18" s="177">
        <f t="shared" si="4"/>
        <v>2.9117510889386509E-3</v>
      </c>
      <c r="J18" s="61"/>
      <c r="K18" s="188"/>
      <c r="L18" s="177"/>
      <c r="M18" s="216"/>
      <c r="N18" s="177"/>
      <c r="O18" s="169">
        <f t="shared" si="3"/>
        <v>0</v>
      </c>
      <c r="P18" s="109"/>
      <c r="Q18" s="186"/>
      <c r="R18" s="185">
        <f t="shared" si="6"/>
        <v>0</v>
      </c>
      <c r="S18" s="27"/>
    </row>
    <row r="19" spans="1:19" s="28" customFormat="1" ht="18" customHeight="1" outlineLevel="1" thickTop="1" thickBot="1" x14ac:dyDescent="0.3">
      <c r="A19" s="62" t="s">
        <v>100</v>
      </c>
      <c r="B19" s="179">
        <f>122400+159000+26060+69800+70350+131214+83100+1200+25400+154600+127107+14090+23590+43500</f>
        <v>1051411</v>
      </c>
      <c r="C19" s="177">
        <f t="shared" si="1"/>
        <v>9.9342479473152109E-3</v>
      </c>
      <c r="D19" s="14"/>
      <c r="E19" s="179"/>
      <c r="F19" s="182"/>
      <c r="G19" s="211" t="s">
        <v>94</v>
      </c>
      <c r="H19" s="99">
        <v>322000</v>
      </c>
      <c r="I19" s="174">
        <f>H19/E$1</f>
        <v>3.042414278560428E-3</v>
      </c>
      <c r="J19" s="62"/>
      <c r="K19" s="188"/>
      <c r="L19" s="177"/>
      <c r="M19" s="216"/>
      <c r="N19" s="177"/>
      <c r="O19" s="169">
        <f t="shared" si="3"/>
        <v>0</v>
      </c>
      <c r="P19" s="107"/>
      <c r="Q19" s="186"/>
      <c r="R19" s="185">
        <f t="shared" si="6"/>
        <v>0</v>
      </c>
      <c r="S19" s="27"/>
    </row>
    <row r="20" spans="1:19" s="28" customFormat="1" ht="18" customHeight="1" outlineLevel="1" thickTop="1" thickBot="1" x14ac:dyDescent="0.3">
      <c r="A20" s="48"/>
      <c r="B20" s="181"/>
      <c r="C20" s="177">
        <f t="shared" si="1"/>
        <v>0</v>
      </c>
      <c r="D20" s="17"/>
      <c r="E20" s="179"/>
      <c r="F20" s="182"/>
      <c r="G20" s="17" t="s">
        <v>99</v>
      </c>
      <c r="H20" s="67">
        <v>298900</v>
      </c>
      <c r="I20" s="177">
        <f t="shared" si="4"/>
        <v>2.8241541237941361E-3</v>
      </c>
      <c r="J20" s="62"/>
      <c r="K20" s="188"/>
      <c r="L20" s="177"/>
      <c r="M20" s="216"/>
      <c r="N20" s="177"/>
      <c r="O20" s="169">
        <f t="shared" si="3"/>
        <v>0</v>
      </c>
      <c r="P20" s="107"/>
      <c r="Q20" s="186"/>
      <c r="R20" s="185">
        <f t="shared" si="6"/>
        <v>0</v>
      </c>
      <c r="S20" s="27"/>
    </row>
    <row r="21" spans="1:19" s="28" customFormat="1" ht="18" customHeight="1" outlineLevel="1" thickTop="1" thickBot="1" x14ac:dyDescent="0.4">
      <c r="A21" s="25"/>
      <c r="B21" s="181"/>
      <c r="C21" s="177">
        <f t="shared" si="1"/>
        <v>0</v>
      </c>
      <c r="D21" s="17"/>
      <c r="E21" s="179"/>
      <c r="F21" s="182"/>
      <c r="G21" s="17"/>
      <c r="H21" s="187"/>
      <c r="I21" s="177">
        <f t="shared" si="4"/>
        <v>0</v>
      </c>
      <c r="J21" s="62"/>
      <c r="K21" s="188"/>
      <c r="L21" s="177"/>
      <c r="M21" s="216"/>
      <c r="N21" s="177"/>
      <c r="O21" s="169">
        <f t="shared" si="3"/>
        <v>0</v>
      </c>
      <c r="P21" s="113"/>
      <c r="Q21" s="189"/>
      <c r="R21" s="189"/>
      <c r="S21" s="98">
        <f>SUM(S6:S20)</f>
        <v>0</v>
      </c>
    </row>
    <row r="22" spans="1:19" s="28" customFormat="1" ht="18" customHeight="1" outlineLevel="1" thickTop="1" thickBot="1" x14ac:dyDescent="0.3">
      <c r="A22" s="25"/>
      <c r="B22" s="181"/>
      <c r="C22" s="177">
        <f t="shared" si="1"/>
        <v>0</v>
      </c>
      <c r="D22" s="17"/>
      <c r="E22" s="179"/>
      <c r="F22" s="182"/>
      <c r="G22" s="17"/>
      <c r="H22" s="187"/>
      <c r="I22" s="177">
        <f t="shared" si="4"/>
        <v>0</v>
      </c>
      <c r="J22" s="62"/>
      <c r="K22" s="188"/>
      <c r="L22" s="177"/>
      <c r="M22" s="216"/>
      <c r="N22" s="177"/>
      <c r="O22" s="169">
        <f t="shared" si="3"/>
        <v>0</v>
      </c>
      <c r="P22" s="106" t="s">
        <v>29</v>
      </c>
      <c r="Q22" s="190">
        <f>Q2-Q5</f>
        <v>13727637.399999999</v>
      </c>
      <c r="R22" s="185">
        <f>Q22/E1</f>
        <v>0.12970546595236068</v>
      </c>
      <c r="S22" s="22"/>
    </row>
    <row r="23" spans="1:19" s="28" customFormat="1" ht="18" customHeight="1" outlineLevel="1" thickTop="1" thickBot="1" x14ac:dyDescent="0.3">
      <c r="A23" s="25"/>
      <c r="B23" s="181"/>
      <c r="C23" s="177">
        <f t="shared" si="1"/>
        <v>0</v>
      </c>
      <c r="D23" s="14"/>
      <c r="E23" s="179"/>
      <c r="F23" s="177"/>
      <c r="G23" s="72"/>
      <c r="H23" s="191"/>
      <c r="I23" s="177">
        <f t="shared" si="4"/>
        <v>0</v>
      </c>
      <c r="J23" s="62"/>
      <c r="K23" s="188"/>
      <c r="L23" s="177"/>
      <c r="M23" s="216"/>
      <c r="N23" s="177"/>
      <c r="O23" s="169">
        <f t="shared" si="3"/>
        <v>0</v>
      </c>
      <c r="P23" s="113"/>
      <c r="Q23" s="189"/>
      <c r="R23" s="189"/>
      <c r="S23" s="22"/>
    </row>
    <row r="24" spans="1:19" s="26" customFormat="1" ht="18" customHeight="1" thickTop="1" x14ac:dyDescent="0.25">
      <c r="A24" s="45"/>
      <c r="D24" s="45"/>
      <c r="G24" s="212"/>
      <c r="H24" s="30"/>
      <c r="J24" s="45"/>
      <c r="M24" s="45"/>
      <c r="P24" s="45"/>
    </row>
    <row r="25" spans="1:19" x14ac:dyDescent="0.25">
      <c r="A25" s="201"/>
      <c r="B25" s="35"/>
      <c r="C25" s="34"/>
      <c r="D25" s="209"/>
      <c r="E25" s="35"/>
      <c r="F25" s="36"/>
      <c r="G25" s="209"/>
      <c r="H25" s="35"/>
      <c r="I25" s="36"/>
      <c r="J25" s="209"/>
      <c r="K25" s="35"/>
      <c r="L25" s="36"/>
      <c r="M25" s="209"/>
      <c r="N25" s="37"/>
      <c r="O25" s="36"/>
      <c r="P25" s="215"/>
      <c r="Q25" s="35"/>
    </row>
    <row r="26" spans="1:19" x14ac:dyDescent="0.25">
      <c r="A26" s="202"/>
      <c r="B26" s="35"/>
      <c r="C26" s="38"/>
      <c r="D26" s="209"/>
      <c r="E26" s="35"/>
      <c r="F26" s="36"/>
      <c r="G26" s="202"/>
      <c r="H26" s="35"/>
      <c r="I26" s="36"/>
      <c r="J26" s="202"/>
      <c r="K26" s="35"/>
      <c r="L26" s="36"/>
      <c r="M26" s="202"/>
      <c r="N26" s="35"/>
      <c r="O26" s="36"/>
      <c r="P26" s="202"/>
      <c r="Q26" s="35"/>
    </row>
    <row r="27" spans="1:19" x14ac:dyDescent="0.25">
      <c r="A27" s="202"/>
      <c r="B27" s="35"/>
      <c r="C27" s="38"/>
      <c r="D27" s="209"/>
      <c r="E27" s="35"/>
      <c r="F27" s="36"/>
      <c r="G27" s="202"/>
      <c r="H27" s="35"/>
      <c r="I27" s="36"/>
      <c r="J27" s="202"/>
      <c r="K27" s="35"/>
      <c r="L27" s="36"/>
      <c r="M27" s="202"/>
      <c r="N27" s="35"/>
      <c r="O27" s="36"/>
      <c r="P27" s="202"/>
      <c r="Q27" s="35"/>
    </row>
    <row r="28" spans="1:19" x14ac:dyDescent="0.25">
      <c r="A28" s="202"/>
      <c r="B28" s="35"/>
      <c r="C28" s="38"/>
      <c r="D28" s="209"/>
      <c r="E28" s="35"/>
      <c r="F28" s="36"/>
      <c r="G28" s="202"/>
      <c r="H28" s="35"/>
      <c r="I28" s="36"/>
      <c r="J28" s="202"/>
      <c r="K28" s="35"/>
      <c r="L28" s="36"/>
      <c r="M28" s="202"/>
      <c r="N28" s="35"/>
      <c r="O28" s="36"/>
      <c r="P28" s="202"/>
      <c r="Q28" s="35"/>
    </row>
    <row r="29" spans="1:19" x14ac:dyDescent="0.25">
      <c r="A29" s="202"/>
      <c r="B29" s="35"/>
      <c r="C29" s="38"/>
      <c r="D29" s="209"/>
      <c r="E29" s="35"/>
      <c r="F29" s="36"/>
      <c r="G29" s="202"/>
      <c r="H29" s="35"/>
      <c r="I29" s="36"/>
      <c r="J29" s="202"/>
      <c r="K29" s="35"/>
      <c r="L29" s="36"/>
      <c r="M29" s="202"/>
      <c r="N29" s="35"/>
      <c r="O29" s="36"/>
      <c r="P29" s="202"/>
      <c r="Q29" s="35"/>
    </row>
    <row r="30" spans="1:19" x14ac:dyDescent="0.25">
      <c r="A30" s="202"/>
      <c r="B30" s="35"/>
      <c r="C30" s="38"/>
      <c r="D30" s="209"/>
      <c r="E30" s="35"/>
      <c r="F30" s="36"/>
      <c r="G30" s="202"/>
      <c r="H30" s="35"/>
      <c r="I30" s="36"/>
      <c r="J30" s="202"/>
      <c r="K30" s="35"/>
      <c r="L30" s="36"/>
      <c r="M30" s="202"/>
      <c r="N30" s="35"/>
      <c r="O30" s="36"/>
      <c r="P30" s="202"/>
      <c r="Q30" s="35"/>
    </row>
    <row r="31" spans="1:19" x14ac:dyDescent="0.25">
      <c r="A31" s="202"/>
      <c r="B31" s="35"/>
      <c r="C31" s="38"/>
      <c r="D31" s="209"/>
      <c r="E31" s="35"/>
      <c r="F31" s="36"/>
      <c r="G31" s="202"/>
      <c r="H31" s="35"/>
      <c r="I31" s="36"/>
      <c r="J31" s="202"/>
      <c r="K31" s="35"/>
      <c r="L31" s="36"/>
      <c r="M31" s="202"/>
      <c r="N31" s="35"/>
      <c r="O31" s="36"/>
      <c r="P31" s="202"/>
      <c r="Q31" s="35"/>
    </row>
    <row r="32" spans="1:19" x14ac:dyDescent="0.25">
      <c r="A32" s="202"/>
      <c r="B32" s="35"/>
      <c r="C32" s="38"/>
      <c r="D32" s="209"/>
      <c r="E32" s="35"/>
      <c r="F32" s="36"/>
      <c r="G32" s="202"/>
      <c r="H32" s="35"/>
      <c r="I32" s="36"/>
      <c r="J32" s="202"/>
      <c r="K32" s="35"/>
      <c r="L32" s="36"/>
      <c r="M32" s="202"/>
      <c r="N32" s="35"/>
      <c r="O32" s="36"/>
      <c r="P32" s="202"/>
      <c r="Q32" s="35"/>
    </row>
    <row r="33" spans="1:17" x14ac:dyDescent="0.25">
      <c r="A33" s="202"/>
      <c r="B33" s="35"/>
      <c r="C33" s="38"/>
      <c r="D33" s="209"/>
      <c r="E33" s="35"/>
      <c r="F33" s="36"/>
      <c r="G33" s="202"/>
      <c r="H33" s="35"/>
      <c r="I33" s="36"/>
      <c r="J33" s="202"/>
      <c r="K33" s="35"/>
      <c r="L33" s="36"/>
      <c r="M33" s="202"/>
      <c r="N33" s="35"/>
      <c r="O33" s="36"/>
      <c r="P33" s="202"/>
      <c r="Q33" s="35"/>
    </row>
    <row r="34" spans="1:17" x14ac:dyDescent="0.25">
      <c r="A34" s="202"/>
      <c r="B34" s="35"/>
      <c r="C34" s="38"/>
      <c r="D34" s="209"/>
      <c r="E34" s="34"/>
      <c r="F34" s="36"/>
      <c r="G34" s="202"/>
      <c r="H34" s="35"/>
      <c r="I34" s="36"/>
      <c r="J34" s="202"/>
      <c r="K34" s="35"/>
      <c r="L34" s="36"/>
      <c r="M34" s="202"/>
      <c r="N34" s="35"/>
      <c r="O34" s="36"/>
      <c r="P34" s="217"/>
      <c r="Q34" s="36"/>
    </row>
    <row r="35" spans="1:17" x14ac:dyDescent="0.25">
      <c r="A35" s="202"/>
      <c r="B35" s="35"/>
      <c r="C35" s="38"/>
      <c r="D35" s="209"/>
      <c r="E35" s="34"/>
      <c r="F35" s="36"/>
      <c r="G35" s="202"/>
      <c r="H35" s="35"/>
      <c r="I35" s="36"/>
      <c r="J35" s="202"/>
      <c r="K35" s="35"/>
      <c r="L35" s="36"/>
      <c r="M35" s="202"/>
      <c r="N35" s="35"/>
      <c r="O35" s="36"/>
      <c r="P35" s="215"/>
      <c r="Q35" s="36"/>
    </row>
    <row r="36" spans="1:17" x14ac:dyDescent="0.25">
      <c r="A36" s="202"/>
      <c r="B36" s="35"/>
      <c r="C36" s="38"/>
      <c r="D36" s="209"/>
      <c r="E36" s="34"/>
      <c r="F36" s="36"/>
      <c r="G36" s="202"/>
      <c r="H36" s="35"/>
      <c r="I36" s="36"/>
      <c r="J36" s="202"/>
      <c r="K36" s="35"/>
      <c r="L36" s="36"/>
      <c r="M36" s="202"/>
      <c r="N36" s="35"/>
      <c r="O36" s="36"/>
      <c r="P36" s="215"/>
      <c r="Q36" s="36"/>
    </row>
    <row r="37" spans="1:17" x14ac:dyDescent="0.25">
      <c r="A37" s="202"/>
      <c r="B37" s="35"/>
      <c r="C37" s="38"/>
      <c r="D37" s="209"/>
      <c r="E37" s="34"/>
      <c r="F37" s="36"/>
      <c r="G37" s="202"/>
      <c r="H37" s="35"/>
      <c r="I37" s="36"/>
      <c r="J37" s="202"/>
      <c r="K37" s="35"/>
      <c r="L37" s="36"/>
      <c r="M37" s="202"/>
      <c r="N37" s="35"/>
      <c r="O37" s="36"/>
      <c r="P37" s="215"/>
      <c r="Q37" s="36"/>
    </row>
    <row r="38" spans="1:17" x14ac:dyDescent="0.25">
      <c r="A38" s="202"/>
      <c r="B38" s="35"/>
      <c r="C38" s="39"/>
      <c r="D38" s="209"/>
      <c r="E38" s="41"/>
      <c r="F38" s="42"/>
      <c r="G38" s="213"/>
      <c r="H38" s="35"/>
      <c r="I38" s="42"/>
      <c r="J38" s="213"/>
      <c r="K38" s="35"/>
      <c r="L38" s="42"/>
      <c r="M38" s="213"/>
      <c r="N38" s="35"/>
      <c r="O38" s="42"/>
      <c r="P38" s="213"/>
      <c r="Q38" s="42"/>
    </row>
    <row r="39" spans="1:17" x14ac:dyDescent="0.25">
      <c r="A39" s="202"/>
      <c r="B39" s="35"/>
      <c r="C39" s="39"/>
      <c r="D39" s="209"/>
      <c r="E39" s="41"/>
      <c r="F39" s="42"/>
      <c r="G39" s="214"/>
      <c r="H39" s="35"/>
      <c r="I39" s="42"/>
      <c r="J39" s="214"/>
      <c r="K39" s="35"/>
      <c r="L39" s="42"/>
      <c r="M39" s="214"/>
      <c r="N39" s="35"/>
      <c r="O39" s="42"/>
      <c r="P39" s="213"/>
      <c r="Q39" s="42"/>
    </row>
    <row r="40" spans="1:17" x14ac:dyDescent="0.25">
      <c r="A40" s="201"/>
      <c r="B40" s="35"/>
      <c r="C40" s="34"/>
      <c r="D40" s="209"/>
      <c r="E40" s="35"/>
      <c r="F40" s="42"/>
      <c r="G40" s="213"/>
      <c r="H40" s="35"/>
      <c r="I40" s="42"/>
      <c r="J40" s="213"/>
      <c r="K40" s="35"/>
      <c r="L40" s="42"/>
      <c r="M40" s="213"/>
      <c r="N40" s="35"/>
      <c r="O40" s="42"/>
      <c r="P40" s="213"/>
      <c r="Q40" s="35"/>
    </row>
    <row r="41" spans="1:17" x14ac:dyDescent="0.25">
      <c r="A41" s="201"/>
      <c r="B41" s="35"/>
      <c r="C41" s="34"/>
      <c r="D41" s="201"/>
      <c r="E41" s="36"/>
      <c r="F41" s="36"/>
      <c r="G41" s="215"/>
      <c r="H41" s="40"/>
      <c r="I41" s="36"/>
      <c r="J41" s="215"/>
      <c r="K41" s="36"/>
      <c r="L41" s="36"/>
      <c r="M41" s="215"/>
      <c r="N41" s="36"/>
      <c r="O41" s="36"/>
      <c r="P41" s="215"/>
      <c r="Q41" s="36"/>
    </row>
    <row r="42" spans="1:17" x14ac:dyDescent="0.25">
      <c r="A42" s="201"/>
      <c r="B42" s="35"/>
      <c r="C42" s="34"/>
      <c r="D42" s="201"/>
      <c r="E42" s="36"/>
      <c r="F42" s="36"/>
      <c r="G42" s="215"/>
      <c r="H42" s="40"/>
      <c r="I42" s="36"/>
      <c r="J42" s="215"/>
      <c r="K42" s="36"/>
      <c r="L42" s="36"/>
      <c r="M42" s="215"/>
      <c r="N42" s="36"/>
      <c r="O42" s="36"/>
      <c r="P42" s="215"/>
      <c r="Q42" s="36"/>
    </row>
    <row r="43" spans="1:17" x14ac:dyDescent="0.25">
      <c r="A43" s="201"/>
      <c r="B43" s="35"/>
      <c r="C43" s="34"/>
      <c r="D43" s="201"/>
      <c r="E43" s="36"/>
      <c r="F43" s="36"/>
      <c r="G43" s="215"/>
      <c r="H43" s="40"/>
      <c r="I43" s="36"/>
      <c r="J43" s="215"/>
      <c r="K43" s="36"/>
      <c r="L43" s="36"/>
      <c r="M43" s="215"/>
      <c r="N43" s="36"/>
      <c r="O43" s="36"/>
      <c r="P43" s="215"/>
      <c r="Q43" s="36"/>
    </row>
    <row r="44" spans="1:17" x14ac:dyDescent="0.25">
      <c r="A44" s="201"/>
      <c r="B44" s="35"/>
      <c r="C44" s="34"/>
      <c r="D44" s="201"/>
      <c r="E44" s="36"/>
      <c r="F44" s="36"/>
      <c r="G44" s="215"/>
      <c r="H44" s="40"/>
      <c r="I44" s="36"/>
      <c r="J44" s="215"/>
      <c r="K44" s="36"/>
      <c r="L44" s="36"/>
      <c r="M44" s="215"/>
      <c r="N44" s="36"/>
      <c r="O44" s="36"/>
      <c r="P44" s="215"/>
      <c r="Q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4"/>
  <sheetViews>
    <sheetView zoomScale="85" zoomScaleNormal="85" workbookViewId="0">
      <selection activeCell="J34" sqref="J34"/>
    </sheetView>
  </sheetViews>
  <sheetFormatPr defaultColWidth="8.75" defaultRowHeight="14" outlineLevelRow="1" x14ac:dyDescent="0.25"/>
  <cols>
    <col min="1" max="1" width="21.08203125" style="31" customWidth="1"/>
    <col min="2" max="2" width="12.5" style="32" bestFit="1" customWidth="1"/>
    <col min="3" max="3" width="11.08203125" style="31" customWidth="1"/>
    <col min="4" max="4" width="10.75" style="31" bestFit="1" customWidth="1"/>
    <col min="5" max="5" width="11.75" style="12" customWidth="1"/>
    <col min="6" max="6" width="9.582031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8.75" style="12" bestFit="1" customWidth="1"/>
    <col min="19" max="16384" width="8.75" style="12"/>
  </cols>
  <sheetData>
    <row r="1" spans="1:19" s="4" customFormat="1" ht="34.5" customHeight="1" x14ac:dyDescent="0.25">
      <c r="A1" s="225" t="s">
        <v>102</v>
      </c>
      <c r="B1" s="226"/>
      <c r="C1" s="226"/>
      <c r="D1" s="92" t="s">
        <v>0</v>
      </c>
      <c r="E1" s="93">
        <v>104003000</v>
      </c>
      <c r="F1" s="94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SUM(B3:B23)</f>
        <v>36346820</v>
      </c>
      <c r="C2" s="95">
        <f t="shared" ref="C2:C23" si="1">B2/E$1</f>
        <v>0.34947857273347882</v>
      </c>
      <c r="D2" s="96" t="s">
        <v>44</v>
      </c>
      <c r="E2" s="6">
        <f>SUM(E3:E23)</f>
        <v>27087098</v>
      </c>
      <c r="F2" s="87">
        <f t="shared" si="0"/>
        <v>0.26044535253790757</v>
      </c>
      <c r="G2" s="96" t="s">
        <v>2</v>
      </c>
      <c r="H2" s="86">
        <f>SUM(H3:H23)</f>
        <v>12539742</v>
      </c>
      <c r="I2" s="87">
        <f>H2/E$1</f>
        <v>0.12057096429910676</v>
      </c>
      <c r="J2" s="97" t="s">
        <v>3</v>
      </c>
      <c r="K2" s="88">
        <f>SUM(K3:K23)</f>
        <v>12941696.600000001</v>
      </c>
      <c r="L2" s="87">
        <f t="shared" ref="L2" si="2">K2/E$1</f>
        <v>0.12443580089035895</v>
      </c>
      <c r="M2" s="75" t="s">
        <v>22</v>
      </c>
      <c r="N2" s="86">
        <f>SUM(N3:N23)</f>
        <v>3776215</v>
      </c>
      <c r="O2" s="87">
        <f>N2/E$1</f>
        <v>3.6308712248685135E-2</v>
      </c>
      <c r="P2" s="89" t="s">
        <v>4</v>
      </c>
      <c r="Q2" s="90">
        <f>E1-B2-E2-H2-K2-N2</f>
        <v>11311428.399999999</v>
      </c>
      <c r="R2" s="91">
        <f>Q2/E1</f>
        <v>0.10876059729046277</v>
      </c>
      <c r="S2" s="11"/>
    </row>
    <row r="3" spans="1:19" ht="18" customHeight="1" outlineLevel="1" thickTop="1" thickBot="1" x14ac:dyDescent="0.35">
      <c r="A3" s="50" t="s">
        <v>5</v>
      </c>
      <c r="B3" s="194">
        <v>1373690</v>
      </c>
      <c r="C3" s="82">
        <f t="shared" si="1"/>
        <v>1.3208176687210946E-2</v>
      </c>
      <c r="D3" s="83" t="s">
        <v>36</v>
      </c>
      <c r="E3" s="84">
        <v>2500000</v>
      </c>
      <c r="F3" s="85">
        <f t="shared" si="0"/>
        <v>2.4037768141303616E-2</v>
      </c>
      <c r="G3" s="66" t="s">
        <v>37</v>
      </c>
      <c r="H3" s="140">
        <v>5500000</v>
      </c>
      <c r="I3" s="3">
        <f>H3/E$1</f>
        <v>5.2883089910867959E-2</v>
      </c>
      <c r="J3" s="100" t="s">
        <v>6</v>
      </c>
      <c r="K3" s="141">
        <f>E1*5%</f>
        <v>5200150</v>
      </c>
      <c r="L3" s="101">
        <f>K3/E$1</f>
        <v>0.05</v>
      </c>
      <c r="M3" s="80" t="s">
        <v>24</v>
      </c>
      <c r="N3" s="15">
        <v>1815000</v>
      </c>
      <c r="O3" s="87">
        <f t="shared" ref="O3:O23" si="3">N3/E$1</f>
        <v>1.7451419670586426E-2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10325520</v>
      </c>
      <c r="C4" s="3">
        <f t="shared" si="1"/>
        <v>9.9280982279357333E-2</v>
      </c>
      <c r="D4" s="57" t="s">
        <v>34</v>
      </c>
      <c r="E4" s="15">
        <v>3780976</v>
      </c>
      <c r="F4" s="16">
        <f>E4/E$1</f>
        <v>3.6354489774333434E-2</v>
      </c>
      <c r="G4" s="65" t="s">
        <v>8</v>
      </c>
      <c r="H4" s="64"/>
      <c r="I4" s="3">
        <f t="shared" ref="I4:I23" si="4">H4/E$1</f>
        <v>0</v>
      </c>
      <c r="J4" s="158" t="s">
        <v>9</v>
      </c>
      <c r="K4" s="159"/>
      <c r="L4" s="101">
        <f t="shared" ref="L4:L13" si="5">K4/E$1</f>
        <v>0</v>
      </c>
      <c r="M4" s="60" t="s">
        <v>26</v>
      </c>
      <c r="N4" s="15">
        <v>225000</v>
      </c>
      <c r="O4" s="87">
        <f t="shared" si="3"/>
        <v>2.1633991327173253E-3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2857000</v>
      </c>
      <c r="C5" s="3">
        <f t="shared" si="1"/>
        <v>2.7470361431881772E-2</v>
      </c>
      <c r="D5" s="58" t="s">
        <v>49</v>
      </c>
      <c r="E5" s="15">
        <v>3306440</v>
      </c>
      <c r="F5" s="16">
        <f>E5/E$1</f>
        <v>3.1791775237252774E-2</v>
      </c>
      <c r="G5" s="66" t="s">
        <v>59</v>
      </c>
      <c r="H5" s="64">
        <v>185000</v>
      </c>
      <c r="I5" s="3">
        <f t="shared" si="4"/>
        <v>1.7787948424564676E-3</v>
      </c>
      <c r="J5" s="162"/>
      <c r="K5" s="162"/>
      <c r="L5" s="101">
        <f t="shared" si="5"/>
        <v>0</v>
      </c>
      <c r="M5" s="61" t="s">
        <v>41</v>
      </c>
      <c r="N5" s="15">
        <v>165000</v>
      </c>
      <c r="O5" s="87">
        <f t="shared" si="3"/>
        <v>1.5864926973260386E-3</v>
      </c>
      <c r="P5" s="106" t="s">
        <v>11</v>
      </c>
      <c r="Q5" s="18">
        <f>SUM(Q6:Q20)</f>
        <v>132917</v>
      </c>
      <c r="R5" s="10">
        <f t="shared" ref="R5:R20" si="6">Q5/E$1</f>
        <v>1.2780112112150612E-3</v>
      </c>
      <c r="S5" s="19"/>
    </row>
    <row r="6" spans="1:19" ht="18" customHeight="1" outlineLevel="1" thickTop="1" thickBot="1" x14ac:dyDescent="0.4">
      <c r="A6" s="51" t="s">
        <v>12</v>
      </c>
      <c r="B6" s="195">
        <v>675900</v>
      </c>
      <c r="C6" s="3">
        <f t="shared" si="1"/>
        <v>6.4988509946828461E-3</v>
      </c>
      <c r="D6" s="57" t="s">
        <v>52</v>
      </c>
      <c r="E6" s="15">
        <v>1629190</v>
      </c>
      <c r="F6" s="16">
        <f t="shared" si="0"/>
        <v>1.5664836591252177E-2</v>
      </c>
      <c r="G6" s="65" t="s">
        <v>15</v>
      </c>
      <c r="H6" s="64"/>
      <c r="I6" s="3">
        <f t="shared" si="4"/>
        <v>0</v>
      </c>
      <c r="J6" s="160"/>
      <c r="K6" s="161"/>
      <c r="L6" s="101">
        <f t="shared" si="5"/>
        <v>0</v>
      </c>
      <c r="M6" s="61" t="s">
        <v>42</v>
      </c>
      <c r="N6" s="15">
        <v>427273</v>
      </c>
      <c r="O6" s="87">
        <f t="shared" si="3"/>
        <v>4.1082757228156882E-3</v>
      </c>
      <c r="P6" s="107" t="s">
        <v>57</v>
      </c>
      <c r="Q6" s="20">
        <v>132917</v>
      </c>
      <c r="R6" s="10">
        <f t="shared" si="6"/>
        <v>1.2780112112150612E-3</v>
      </c>
      <c r="S6" s="21"/>
    </row>
    <row r="7" spans="1:19" ht="18" customHeight="1" outlineLevel="1" thickTop="1" thickBot="1" x14ac:dyDescent="0.4">
      <c r="A7" s="52" t="s">
        <v>32</v>
      </c>
      <c r="B7" s="195">
        <v>5851000</v>
      </c>
      <c r="C7" s="3">
        <f t="shared" si="1"/>
        <v>5.6257992557906984E-2</v>
      </c>
      <c r="D7" s="58" t="s">
        <v>54</v>
      </c>
      <c r="E7" s="15">
        <v>3119056</v>
      </c>
      <c r="F7" s="16">
        <f t="shared" si="0"/>
        <v>2.9990057979096756E-2</v>
      </c>
      <c r="G7" s="65" t="s">
        <v>18</v>
      </c>
      <c r="H7" s="64">
        <v>43670</v>
      </c>
      <c r="I7" s="3">
        <f t="shared" si="4"/>
        <v>4.1989173389229159E-4</v>
      </c>
      <c r="J7" s="78" t="s">
        <v>13</v>
      </c>
      <c r="K7" s="144">
        <f>E2*20%</f>
        <v>5417419.6000000006</v>
      </c>
      <c r="L7" s="101">
        <f t="shared" si="5"/>
        <v>5.208907050758152E-2</v>
      </c>
      <c r="M7" s="61" t="s">
        <v>143</v>
      </c>
      <c r="N7" s="15">
        <v>330000</v>
      </c>
      <c r="O7" s="87">
        <f t="shared" si="3"/>
        <v>3.1729853946520772E-3</v>
      </c>
      <c r="P7" s="107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6239400</v>
      </c>
      <c r="C8" s="3">
        <f t="shared" si="1"/>
        <v>5.9992500216339915E-2</v>
      </c>
      <c r="D8" s="58" t="s">
        <v>66</v>
      </c>
      <c r="E8" s="15">
        <v>3534364</v>
      </c>
      <c r="F8" s="16">
        <f t="shared" si="0"/>
        <v>3.3983288943588166E-2</v>
      </c>
      <c r="G8" s="65" t="s">
        <v>23</v>
      </c>
      <c r="H8" s="67">
        <v>1810000</v>
      </c>
      <c r="I8" s="3">
        <f t="shared" si="4"/>
        <v>1.7403344134303819E-2</v>
      </c>
      <c r="J8" s="76" t="s">
        <v>14</v>
      </c>
      <c r="K8" s="197">
        <v>165000</v>
      </c>
      <c r="L8" s="101">
        <f t="shared" si="5"/>
        <v>1.5864926973260386E-3</v>
      </c>
      <c r="M8" s="62" t="s">
        <v>141</v>
      </c>
      <c r="N8" s="15">
        <v>813942</v>
      </c>
      <c r="O8" s="87">
        <f t="shared" si="3"/>
        <v>7.8261396305875797E-3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1030000</v>
      </c>
      <c r="C9" s="3">
        <f t="shared" si="1"/>
        <v>9.9035604742170897E-3</v>
      </c>
      <c r="D9" s="57" t="s">
        <v>145</v>
      </c>
      <c r="E9" s="15">
        <v>3119056</v>
      </c>
      <c r="F9" s="16">
        <f t="shared" si="0"/>
        <v>2.9990057979096756E-2</v>
      </c>
      <c r="G9" s="65" t="s">
        <v>25</v>
      </c>
      <c r="H9" s="68">
        <v>300000</v>
      </c>
      <c r="I9" s="3">
        <f t="shared" si="4"/>
        <v>2.8845321769564339E-3</v>
      </c>
      <c r="J9" s="76" t="s">
        <v>16</v>
      </c>
      <c r="K9" s="108">
        <v>176000</v>
      </c>
      <c r="L9" s="101">
        <f t="shared" si="5"/>
        <v>1.6922588771477746E-3</v>
      </c>
      <c r="M9" s="62"/>
      <c r="N9" s="15"/>
      <c r="O9" s="87">
        <f t="shared" si="3"/>
        <v>0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f>((120750*11.5)+(13850*11.5))*1.1</f>
        <v>1702690.0000000002</v>
      </c>
      <c r="C10" s="3">
        <f t="shared" si="1"/>
        <v>1.6371546974606504E-2</v>
      </c>
      <c r="D10" s="57" t="s">
        <v>67</v>
      </c>
      <c r="E10" s="15">
        <v>2123856</v>
      </c>
      <c r="F10" s="16">
        <f t="shared" si="0"/>
        <v>2.0421103237406615E-2</v>
      </c>
      <c r="G10" s="66" t="s">
        <v>69</v>
      </c>
      <c r="H10" s="67"/>
      <c r="I10" s="3">
        <f t="shared" si="4"/>
        <v>0</v>
      </c>
      <c r="J10" s="78" t="s">
        <v>19</v>
      </c>
      <c r="K10" s="144">
        <v>90873</v>
      </c>
      <c r="L10" s="101">
        <f t="shared" si="5"/>
        <v>8.7375364172187346E-4</v>
      </c>
      <c r="M10" s="62"/>
      <c r="N10" s="15"/>
      <c r="O10" s="87">
        <f t="shared" si="3"/>
        <v>0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1" t="s">
        <v>20</v>
      </c>
      <c r="B11" s="195">
        <v>286000</v>
      </c>
      <c r="C11" s="3">
        <f t="shared" si="1"/>
        <v>2.7499206753651335E-3</v>
      </c>
      <c r="D11" s="58" t="s">
        <v>68</v>
      </c>
      <c r="E11" s="15">
        <v>2327160</v>
      </c>
      <c r="F11" s="16">
        <f>E11/E$1</f>
        <v>2.2375893003086449E-2</v>
      </c>
      <c r="G11" s="76" t="s">
        <v>10</v>
      </c>
      <c r="H11" s="64"/>
      <c r="I11" s="3">
        <f>H11/E$1</f>
        <v>0</v>
      </c>
      <c r="J11" s="78" t="s">
        <v>98</v>
      </c>
      <c r="K11" s="144">
        <v>20200</v>
      </c>
      <c r="L11" s="101">
        <f t="shared" si="5"/>
        <v>1.9422516658173321E-4</v>
      </c>
      <c r="M11" s="62"/>
      <c r="N11" s="15"/>
      <c r="O11" s="87">
        <f t="shared" si="3"/>
        <v>0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3" t="s">
        <v>27</v>
      </c>
      <c r="B12" s="195">
        <v>329600</v>
      </c>
      <c r="C12" s="3">
        <f t="shared" si="1"/>
        <v>3.1691393517494686E-3</v>
      </c>
      <c r="D12" s="58"/>
      <c r="E12" s="15"/>
      <c r="F12" s="16">
        <f>E12/E$1</f>
        <v>0</v>
      </c>
      <c r="G12" s="66" t="s">
        <v>142</v>
      </c>
      <c r="H12" s="67">
        <v>718630</v>
      </c>
      <c r="I12" s="3">
        <f t="shared" si="4"/>
        <v>6.9097045277540072E-3</v>
      </c>
      <c r="J12" s="78" t="s">
        <v>71</v>
      </c>
      <c r="K12" s="110"/>
      <c r="L12" s="101">
        <f t="shared" si="5"/>
        <v>0</v>
      </c>
      <c r="M12" s="62"/>
      <c r="N12" s="15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4" t="s">
        <v>39</v>
      </c>
      <c r="B13" s="194">
        <v>60000</v>
      </c>
      <c r="C13" s="3">
        <f t="shared" si="1"/>
        <v>5.7690643539128679E-4</v>
      </c>
      <c r="D13" s="58"/>
      <c r="E13" s="15"/>
      <c r="F13" s="16">
        <f t="shared" ref="F13:F16" si="7">E13/E$1</f>
        <v>0</v>
      </c>
      <c r="G13" s="66" t="s">
        <v>56</v>
      </c>
      <c r="H13" s="67">
        <v>2139210</v>
      </c>
      <c r="I13" s="3">
        <f>H13/E$1</f>
        <v>2.0568733594223242E-2</v>
      </c>
      <c r="J13" s="79" t="s">
        <v>21</v>
      </c>
      <c r="K13" s="144">
        <f>E1*1.8%</f>
        <v>1872054.0000000002</v>
      </c>
      <c r="L13" s="101">
        <f t="shared" si="5"/>
        <v>1.8000000000000002E-2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56" t="s">
        <v>40</v>
      </c>
      <c r="B14" s="195">
        <v>1663200</v>
      </c>
      <c r="C14" s="3">
        <f t="shared" si="1"/>
        <v>1.5991846389046469E-2</v>
      </c>
      <c r="D14" s="58"/>
      <c r="E14" s="15"/>
      <c r="F14" s="16">
        <f t="shared" si="7"/>
        <v>0</v>
      </c>
      <c r="G14" s="47" t="s">
        <v>70</v>
      </c>
      <c r="H14" s="67"/>
      <c r="I14" s="3">
        <f t="shared" si="4"/>
        <v>0</v>
      </c>
      <c r="J14" s="80"/>
      <c r="K14" s="145"/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47" t="s">
        <v>51</v>
      </c>
      <c r="B15" s="195">
        <v>810000</v>
      </c>
      <c r="C15" s="3">
        <f t="shared" si="1"/>
        <v>7.7882368777823716E-3</v>
      </c>
      <c r="D15" s="59"/>
      <c r="E15" s="15"/>
      <c r="F15" s="16">
        <f t="shared" si="7"/>
        <v>0</v>
      </c>
      <c r="G15" s="71" t="s">
        <v>72</v>
      </c>
      <c r="H15" s="67">
        <v>1000000</v>
      </c>
      <c r="I15" s="3">
        <f t="shared" si="4"/>
        <v>9.6151072565214459E-3</v>
      </c>
      <c r="J15" s="60"/>
      <c r="K15" s="145"/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63" t="s">
        <v>65</v>
      </c>
      <c r="B16" s="195">
        <v>460000</v>
      </c>
      <c r="C16" s="3">
        <f t="shared" si="1"/>
        <v>4.4229493379998657E-3</v>
      </c>
      <c r="D16" s="58" t="s">
        <v>28</v>
      </c>
      <c r="E16" s="15">
        <v>1647000</v>
      </c>
      <c r="F16" s="16">
        <f t="shared" si="7"/>
        <v>1.5836081651490821E-2</v>
      </c>
      <c r="G16" s="71" t="s">
        <v>74</v>
      </c>
      <c r="H16" s="163">
        <v>25000</v>
      </c>
      <c r="I16" s="3">
        <f t="shared" si="4"/>
        <v>2.4037768141303616E-4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48" t="s">
        <v>73</v>
      </c>
      <c r="B17" s="195">
        <v>560000</v>
      </c>
      <c r="C17" s="3">
        <f t="shared" si="1"/>
        <v>5.3844600636520096E-3</v>
      </c>
      <c r="D17" s="17"/>
      <c r="E17" s="15"/>
      <c r="F17" s="16"/>
      <c r="G17" s="62" t="s">
        <v>46</v>
      </c>
      <c r="H17" s="64">
        <v>496232</v>
      </c>
      <c r="I17" s="3">
        <f t="shared" si="4"/>
        <v>4.7713239041181502E-3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s="28" customFormat="1" ht="18" customHeight="1" outlineLevel="1" thickTop="1" thickBot="1" x14ac:dyDescent="0.4">
      <c r="A18" s="62" t="s">
        <v>144</v>
      </c>
      <c r="B18" s="196">
        <v>25800</v>
      </c>
      <c r="C18" s="3">
        <f t="shared" si="1"/>
        <v>2.480697672182533E-4</v>
      </c>
      <c r="D18" s="17"/>
      <c r="E18" s="15"/>
      <c r="F18" s="16"/>
      <c r="G18" s="147" t="s">
        <v>94</v>
      </c>
      <c r="H18" s="164">
        <v>322000</v>
      </c>
      <c r="I18" s="3">
        <f t="shared" si="4"/>
        <v>3.0960645365999059E-3</v>
      </c>
      <c r="J18" s="61"/>
      <c r="K18" s="145"/>
      <c r="L18" s="3"/>
      <c r="M18" s="3"/>
      <c r="N18" s="3"/>
      <c r="O18" s="87">
        <f t="shared" si="3"/>
        <v>0</v>
      </c>
      <c r="P18" s="109"/>
      <c r="Q18" s="20"/>
      <c r="R18" s="10">
        <f t="shared" si="6"/>
        <v>0</v>
      </c>
      <c r="S18" s="27"/>
    </row>
    <row r="19" spans="1:19" s="28" customFormat="1" ht="18" customHeight="1" outlineLevel="1" thickTop="1" thickBot="1" x14ac:dyDescent="0.4">
      <c r="A19" s="62" t="s">
        <v>47</v>
      </c>
      <c r="B19" s="196">
        <v>594740</v>
      </c>
      <c r="C19" s="3">
        <f t="shared" si="1"/>
        <v>5.7184888897435652E-3</v>
      </c>
      <c r="D19" s="14"/>
      <c r="E19" s="15"/>
      <c r="F19" s="16"/>
      <c r="G19" s="76"/>
      <c r="H19" s="64"/>
      <c r="I19" s="82">
        <f>H19/E$1</f>
        <v>0</v>
      </c>
      <c r="J19" s="62"/>
      <c r="K19" s="145"/>
      <c r="L19" s="3"/>
      <c r="M19" s="3"/>
      <c r="N19" s="3"/>
      <c r="O19" s="87">
        <f t="shared" si="3"/>
        <v>0</v>
      </c>
      <c r="P19" s="107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62" t="s">
        <v>45</v>
      </c>
      <c r="B20" s="195">
        <f>380720-2000-51000-1500</f>
        <v>326220</v>
      </c>
      <c r="C20" s="3">
        <f t="shared" si="1"/>
        <v>3.1366402892224264E-3</v>
      </c>
      <c r="D20" s="17"/>
      <c r="E20" s="15"/>
      <c r="F20" s="16"/>
      <c r="G20" s="76"/>
      <c r="H20" s="67"/>
      <c r="I20" s="3">
        <f t="shared" si="4"/>
        <v>0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 t="s">
        <v>95</v>
      </c>
      <c r="B21" s="195">
        <v>1176060</v>
      </c>
      <c r="C21" s="3">
        <f t="shared" si="1"/>
        <v>1.1307943040104613E-2</v>
      </c>
      <c r="D21" s="17"/>
      <c r="E21" s="15"/>
      <c r="F21" s="16"/>
      <c r="G21" s="71"/>
      <c r="H21" s="67"/>
      <c r="I21" s="3">
        <f t="shared" si="4"/>
        <v>0</v>
      </c>
      <c r="J21" s="62"/>
      <c r="K21" s="145"/>
      <c r="L21" s="3"/>
      <c r="M21" s="3"/>
      <c r="N21" s="3"/>
      <c r="O21" s="87">
        <f t="shared" si="3"/>
        <v>0</v>
      </c>
      <c r="P21" s="113"/>
      <c r="Q21" s="114"/>
      <c r="R21" s="114"/>
      <c r="S21" s="98">
        <f>SUM(S6:S20)</f>
        <v>0</v>
      </c>
    </row>
    <row r="22" spans="1:19" s="28" customFormat="1" ht="18" customHeight="1" outlineLevel="1" thickTop="1" thickBot="1" x14ac:dyDescent="0.35">
      <c r="A22" s="25"/>
      <c r="B22" s="195"/>
      <c r="C22" s="3">
        <f t="shared" si="1"/>
        <v>0</v>
      </c>
      <c r="D22" s="17"/>
      <c r="E22" s="15"/>
      <c r="F22" s="16"/>
      <c r="G22" s="71"/>
      <c r="H22" s="67"/>
      <c r="I22" s="3">
        <f t="shared" si="4"/>
        <v>0</v>
      </c>
      <c r="J22" s="62"/>
      <c r="K22" s="145"/>
      <c r="L22" s="3"/>
      <c r="M22" s="3"/>
      <c r="N22" s="3"/>
      <c r="O22" s="87">
        <f t="shared" si="3"/>
        <v>0</v>
      </c>
      <c r="P22" s="106" t="s">
        <v>29</v>
      </c>
      <c r="Q22" s="115">
        <f>Q2-Q5</f>
        <v>11178511.399999999</v>
      </c>
      <c r="R22" s="10">
        <f>Q22/E1</f>
        <v>0.1074825860792477</v>
      </c>
      <c r="S22" s="22"/>
    </row>
    <row r="23" spans="1:19" s="28" customFormat="1" ht="18" customHeight="1" outlineLevel="1" thickTop="1" thickBot="1" x14ac:dyDescent="0.35">
      <c r="A23" s="25"/>
      <c r="B23" s="195"/>
      <c r="C23" s="3">
        <f t="shared" si="1"/>
        <v>0</v>
      </c>
      <c r="D23" s="14"/>
      <c r="E23" s="15"/>
      <c r="F23" s="3"/>
      <c r="G23" s="72"/>
      <c r="H23" s="73"/>
      <c r="I23" s="3">
        <f t="shared" si="4"/>
        <v>0</v>
      </c>
      <c r="J23" s="62"/>
      <c r="K23" s="145"/>
      <c r="L23" s="3"/>
      <c r="M23" s="3"/>
      <c r="N23" s="3"/>
      <c r="O23" s="87">
        <f t="shared" si="3"/>
        <v>0</v>
      </c>
      <c r="P23" s="113"/>
      <c r="Q23" s="114"/>
      <c r="R23" s="114"/>
      <c r="S23" s="22"/>
    </row>
    <row r="24" spans="1:19" s="26" customFormat="1" ht="18" customHeight="1" thickTop="1" x14ac:dyDescent="0.25">
      <c r="G24" s="29"/>
      <c r="H24" s="30"/>
    </row>
    <row r="25" spans="1:19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5"/>
      <c r="N25" s="37"/>
      <c r="O25" s="36"/>
      <c r="P25" s="36"/>
      <c r="Q25" s="35"/>
    </row>
    <row r="26" spans="1:19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8"/>
      <c r="N26" s="35"/>
      <c r="O26" s="36"/>
      <c r="P26" s="38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9"/>
      <c r="Q34" s="36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6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35"/>
      <c r="O38" s="42"/>
      <c r="P38" s="42"/>
      <c r="Q38" s="42"/>
    </row>
    <row r="39" spans="1:17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3"/>
      <c r="N39" s="35"/>
      <c r="O39" s="42"/>
      <c r="P39" s="42"/>
      <c r="Q39" s="42"/>
    </row>
    <row r="40" spans="1:17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35"/>
      <c r="O40" s="42"/>
      <c r="P40" s="42"/>
      <c r="Q40" s="35"/>
    </row>
    <row r="41" spans="1:17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  <c r="P41" s="36"/>
      <c r="Q41" s="36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F3F5-097D-497E-B63A-198A82A2A1D8}">
  <dimension ref="A1:S44"/>
  <sheetViews>
    <sheetView zoomScale="85" zoomScaleNormal="85" workbookViewId="0">
      <selection activeCell="E12" sqref="E12"/>
    </sheetView>
  </sheetViews>
  <sheetFormatPr defaultColWidth="8.75" defaultRowHeight="14" outlineLevelRow="1" x14ac:dyDescent="0.25"/>
  <cols>
    <col min="1" max="1" width="21.08203125" style="31" customWidth="1"/>
    <col min="2" max="2" width="12.5" style="32" bestFit="1" customWidth="1"/>
    <col min="3" max="3" width="11.08203125" style="31" customWidth="1"/>
    <col min="4" max="4" width="10.75" style="31" bestFit="1" customWidth="1"/>
    <col min="5" max="5" width="11.75" style="12" customWidth="1"/>
    <col min="6" max="6" width="9.582031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8.75" style="12" bestFit="1" customWidth="1"/>
    <col min="19" max="16384" width="8.75" style="12"/>
  </cols>
  <sheetData>
    <row r="1" spans="1:19" s="4" customFormat="1" ht="34.5" customHeight="1" x14ac:dyDescent="0.25">
      <c r="A1" s="225" t="s">
        <v>148</v>
      </c>
      <c r="B1" s="226"/>
      <c r="C1" s="226"/>
      <c r="D1" s="92" t="s">
        <v>0</v>
      </c>
      <c r="E1" s="93">
        <v>94337500</v>
      </c>
      <c r="F1" s="94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SUM(B3:B23)</f>
        <v>34532333</v>
      </c>
      <c r="C2" s="95">
        <f t="shared" ref="C2:C23" si="1">B2/E$1</f>
        <v>0.36605096594673381</v>
      </c>
      <c r="D2" s="96" t="s">
        <v>44</v>
      </c>
      <c r="E2" s="6">
        <f>SUM(E3:E23)</f>
        <v>24513456</v>
      </c>
      <c r="F2" s="87">
        <f t="shared" si="0"/>
        <v>0.25984848019080431</v>
      </c>
      <c r="G2" s="96" t="s">
        <v>2</v>
      </c>
      <c r="H2" s="86">
        <f>SUM(H3:H23)</f>
        <v>12703470</v>
      </c>
      <c r="I2" s="87">
        <f>H2/E$1</f>
        <v>0.13465981184576653</v>
      </c>
      <c r="J2" s="97" t="s">
        <v>3</v>
      </c>
      <c r="K2" s="88">
        <f>SUM(K3:K23)</f>
        <v>11769714.199999999</v>
      </c>
      <c r="L2" s="87">
        <f t="shared" ref="L2" si="2">K2/E$1</f>
        <v>0.12476177765999734</v>
      </c>
      <c r="M2" s="75" t="s">
        <v>22</v>
      </c>
      <c r="N2" s="86">
        <f>SUM(N3:N23)</f>
        <v>4665708.0999999996</v>
      </c>
      <c r="O2" s="87">
        <f>N2/E$1</f>
        <v>4.9457618656419768E-2</v>
      </c>
      <c r="P2" s="89" t="s">
        <v>4</v>
      </c>
      <c r="Q2" s="90">
        <f>E1-B2-E2-H2-K2-N2</f>
        <v>6152818.7000000011</v>
      </c>
      <c r="R2" s="91">
        <f>Q2/E1</f>
        <v>6.5221345700278266E-2</v>
      </c>
      <c r="S2" s="11"/>
    </row>
    <row r="3" spans="1:19" ht="18" customHeight="1" outlineLevel="1" thickTop="1" thickBot="1" x14ac:dyDescent="0.35">
      <c r="A3" s="50" t="s">
        <v>5</v>
      </c>
      <c r="B3" s="194">
        <v>1679992</v>
      </c>
      <c r="C3" s="82">
        <f t="shared" si="1"/>
        <v>1.7808315887107459E-2</v>
      </c>
      <c r="D3" s="83" t="s">
        <v>36</v>
      </c>
      <c r="E3" s="84">
        <v>2500000</v>
      </c>
      <c r="F3" s="85">
        <f t="shared" si="0"/>
        <v>2.6500596263415926E-2</v>
      </c>
      <c r="G3" s="66" t="s">
        <v>37</v>
      </c>
      <c r="H3" s="140">
        <v>5500000</v>
      </c>
      <c r="I3" s="3">
        <f>H3/E$1</f>
        <v>5.8301311779515037E-2</v>
      </c>
      <c r="J3" s="100" t="s">
        <v>6</v>
      </c>
      <c r="K3" s="141">
        <f>E1*5%</f>
        <v>4716875</v>
      </c>
      <c r="L3" s="101">
        <f>K3/E$1</f>
        <v>0.05</v>
      </c>
      <c r="M3" s="80" t="s">
        <v>24</v>
      </c>
      <c r="N3" s="15">
        <v>1677500</v>
      </c>
      <c r="O3" s="87">
        <f t="shared" ref="O3:O23" si="3">N3/E$1</f>
        <v>1.7781900092752087E-2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10415450</v>
      </c>
      <c r="C4" s="3">
        <f t="shared" si="1"/>
        <v>0.11040625414071817</v>
      </c>
      <c r="D4" s="57" t="s">
        <v>34</v>
      </c>
      <c r="E4" s="15">
        <v>3850746</v>
      </c>
      <c r="F4" s="16">
        <f>E4/E$1</f>
        <v>4.0818826023585532E-2</v>
      </c>
      <c r="G4" s="65" t="s">
        <v>8</v>
      </c>
      <c r="H4" s="64"/>
      <c r="I4" s="3">
        <f t="shared" ref="I4:I23" si="4">H4/E$1</f>
        <v>0</v>
      </c>
      <c r="J4" s="158" t="s">
        <v>9</v>
      </c>
      <c r="K4" s="159"/>
      <c r="L4" s="101">
        <f t="shared" ref="L4:L13" si="5">K4/E$1</f>
        <v>0</v>
      </c>
      <c r="M4" s="60" t="s">
        <v>26</v>
      </c>
      <c r="N4" s="15">
        <v>225000</v>
      </c>
      <c r="O4" s="87">
        <f t="shared" si="3"/>
        <v>2.3850536637074335E-3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1214000</v>
      </c>
      <c r="C5" s="3">
        <f t="shared" si="1"/>
        <v>1.2868689545514775E-2</v>
      </c>
      <c r="D5" s="58" t="s">
        <v>49</v>
      </c>
      <c r="E5" s="15">
        <v>3327260</v>
      </c>
      <c r="F5" s="16">
        <f>E5/E$1</f>
        <v>3.5269749569365308E-2</v>
      </c>
      <c r="G5" s="66" t="s">
        <v>59</v>
      </c>
      <c r="H5" s="64">
        <v>260000</v>
      </c>
      <c r="I5" s="3">
        <f t="shared" si="4"/>
        <v>2.7560620113952564E-3</v>
      </c>
      <c r="J5" s="162"/>
      <c r="K5" s="162"/>
      <c r="L5" s="101">
        <f t="shared" si="5"/>
        <v>0</v>
      </c>
      <c r="M5" s="61" t="s">
        <v>41</v>
      </c>
      <c r="N5" s="15">
        <v>165000</v>
      </c>
      <c r="O5" s="87">
        <f t="shared" si="3"/>
        <v>1.7490393533854511E-3</v>
      </c>
      <c r="P5" s="106" t="s">
        <v>11</v>
      </c>
      <c r="Q5" s="18">
        <f>SUM(Q6:Q20)</f>
        <v>120054</v>
      </c>
      <c r="R5" s="10">
        <f t="shared" ref="R5:R20" si="6">Q5/E$1</f>
        <v>1.2726010335232542E-3</v>
      </c>
      <c r="S5" s="19"/>
    </row>
    <row r="6" spans="1:19" ht="18" customHeight="1" outlineLevel="1" thickTop="1" thickBot="1" x14ac:dyDescent="0.4">
      <c r="A6" s="51" t="s">
        <v>12</v>
      </c>
      <c r="B6" s="195">
        <v>1069700</v>
      </c>
      <c r="C6" s="3">
        <f t="shared" si="1"/>
        <v>1.1339075129190407E-2</v>
      </c>
      <c r="D6" s="57" t="s">
        <v>52</v>
      </c>
      <c r="E6" s="15">
        <v>1596440</v>
      </c>
      <c r="F6" s="16">
        <f t="shared" si="0"/>
        <v>1.692264475950709E-2</v>
      </c>
      <c r="G6" s="65" t="s">
        <v>15</v>
      </c>
      <c r="H6" s="64">
        <v>110000</v>
      </c>
      <c r="I6" s="3">
        <f t="shared" si="4"/>
        <v>1.1660262355903009E-3</v>
      </c>
      <c r="J6" s="160"/>
      <c r="K6" s="161"/>
      <c r="L6" s="101">
        <f t="shared" si="5"/>
        <v>0</v>
      </c>
      <c r="M6" s="61" t="s">
        <v>42</v>
      </c>
      <c r="N6" s="15">
        <v>654478</v>
      </c>
      <c r="O6" s="87">
        <f t="shared" si="3"/>
        <v>6.9376228965151712E-3</v>
      </c>
      <c r="P6" s="107" t="s">
        <v>57</v>
      </c>
      <c r="Q6" s="20">
        <v>120054</v>
      </c>
      <c r="R6" s="10">
        <f t="shared" si="6"/>
        <v>1.2726010335232542E-3</v>
      </c>
      <c r="S6" s="21"/>
    </row>
    <row r="7" spans="1:19" ht="18" customHeight="1" outlineLevel="1" thickTop="1" thickBot="1" x14ac:dyDescent="0.4">
      <c r="A7" s="52" t="s">
        <v>32</v>
      </c>
      <c r="B7" s="195">
        <v>6184837</v>
      </c>
      <c r="C7" s="3">
        <f t="shared" si="1"/>
        <v>6.5560747316814633E-2</v>
      </c>
      <c r="D7" s="58" t="s">
        <v>54</v>
      </c>
      <c r="E7" s="15">
        <v>3300000</v>
      </c>
      <c r="F7" s="16">
        <f t="shared" si="0"/>
        <v>3.4980787067709025E-2</v>
      </c>
      <c r="G7" s="65" t="s">
        <v>18</v>
      </c>
      <c r="H7" s="64">
        <f>45700+7960</f>
        <v>53660</v>
      </c>
      <c r="I7" s="3">
        <f t="shared" si="4"/>
        <v>5.6880879819795941E-4</v>
      </c>
      <c r="J7" s="78" t="s">
        <v>13</v>
      </c>
      <c r="K7" s="144">
        <f>E2*20%</f>
        <v>4902691.2</v>
      </c>
      <c r="L7" s="101">
        <f t="shared" si="5"/>
        <v>5.1969696038160859E-2</v>
      </c>
      <c r="M7" s="61" t="s">
        <v>143</v>
      </c>
      <c r="N7" s="15">
        <v>660000</v>
      </c>
      <c r="O7" s="87">
        <f t="shared" si="3"/>
        <v>6.9961574135418043E-3</v>
      </c>
      <c r="P7" s="107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5409800</v>
      </c>
      <c r="C8" s="3">
        <f t="shared" si="1"/>
        <v>5.7345170266330993E-2</v>
      </c>
      <c r="D8" s="58" t="s">
        <v>66</v>
      </c>
      <c r="E8" s="15">
        <v>3850746</v>
      </c>
      <c r="F8" s="16">
        <f t="shared" si="0"/>
        <v>4.0818826023585532E-2</v>
      </c>
      <c r="G8" s="65" t="s">
        <v>23</v>
      </c>
      <c r="H8" s="67">
        <v>1695000</v>
      </c>
      <c r="I8" s="3">
        <f t="shared" si="4"/>
        <v>1.7967404266595998E-2</v>
      </c>
      <c r="J8" s="76" t="s">
        <v>14</v>
      </c>
      <c r="K8" s="197">
        <v>165000</v>
      </c>
      <c r="L8" s="101">
        <f t="shared" si="5"/>
        <v>1.7490393533854511E-3</v>
      </c>
      <c r="M8" s="62" t="s">
        <v>141</v>
      </c>
      <c r="N8" s="15">
        <f>839.35*1446</f>
        <v>1213700.1000000001</v>
      </c>
      <c r="O8" s="87">
        <f t="shared" si="3"/>
        <v>1.2865510533987016E-2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1463000</v>
      </c>
      <c r="C9" s="3">
        <f t="shared" si="1"/>
        <v>1.5508148933351E-2</v>
      </c>
      <c r="D9" s="57" t="s">
        <v>145</v>
      </c>
      <c r="E9" s="15">
        <v>1110412</v>
      </c>
      <c r="F9" s="16">
        <f t="shared" si="0"/>
        <v>1.1770632039220883E-2</v>
      </c>
      <c r="G9" s="65" t="s">
        <v>25</v>
      </c>
      <c r="H9" s="218">
        <v>300000</v>
      </c>
      <c r="I9" s="3">
        <f t="shared" si="4"/>
        <v>3.1800715516099114E-3</v>
      </c>
      <c r="J9" s="76" t="s">
        <v>16</v>
      </c>
      <c r="K9" s="108">
        <v>176000</v>
      </c>
      <c r="L9" s="101">
        <f t="shared" si="5"/>
        <v>1.8656419769444812E-3</v>
      </c>
      <c r="M9" s="62" t="s">
        <v>147</v>
      </c>
      <c r="N9" s="15">
        <v>62801</v>
      </c>
      <c r="O9" s="87">
        <f t="shared" si="3"/>
        <v>6.6570557837551344E-4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f>((102760*11.5)+(10600*11.5))*1.1</f>
        <v>1434004</v>
      </c>
      <c r="C10" s="3">
        <f t="shared" si="1"/>
        <v>1.5200784417649398E-2</v>
      </c>
      <c r="D10" s="57" t="s">
        <v>67</v>
      </c>
      <c r="E10" s="15">
        <v>470592</v>
      </c>
      <c r="F10" s="16">
        <f t="shared" si="0"/>
        <v>4.988387438717371E-3</v>
      </c>
      <c r="G10" s="66" t="s">
        <v>69</v>
      </c>
      <c r="H10" s="67"/>
      <c r="I10" s="3">
        <f t="shared" si="4"/>
        <v>0</v>
      </c>
      <c r="J10" s="78" t="s">
        <v>19</v>
      </c>
      <c r="K10" s="144">
        <v>90873</v>
      </c>
      <c r="L10" s="101">
        <f t="shared" si="5"/>
        <v>9.6327547369815815E-4</v>
      </c>
      <c r="M10" s="62" t="s">
        <v>153</v>
      </c>
      <c r="N10" s="15">
        <v>7229</v>
      </c>
      <c r="O10" s="87">
        <f t="shared" si="3"/>
        <v>7.6629124155293496E-5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6" t="s">
        <v>27</v>
      </c>
      <c r="B11" s="195">
        <v>354000</v>
      </c>
      <c r="C11" s="3">
        <f t="shared" si="1"/>
        <v>3.7524844308996952E-3</v>
      </c>
      <c r="D11" s="58" t="s">
        <v>68</v>
      </c>
      <c r="E11" s="15">
        <v>2443260</v>
      </c>
      <c r="F11" s="16">
        <f>E11/E$1</f>
        <v>2.589913873062144E-2</v>
      </c>
      <c r="G11" s="76" t="s">
        <v>10</v>
      </c>
      <c r="H11" s="64"/>
      <c r="I11" s="3">
        <f>H11/E$1</f>
        <v>0</v>
      </c>
      <c r="J11" s="78" t="s">
        <v>98</v>
      </c>
      <c r="K11" s="144">
        <v>20200</v>
      </c>
      <c r="L11" s="101">
        <f t="shared" si="5"/>
        <v>2.141248178084007E-4</v>
      </c>
      <c r="M11" s="62"/>
      <c r="N11" s="15"/>
      <c r="O11" s="87">
        <f t="shared" si="3"/>
        <v>0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4" t="s">
        <v>39</v>
      </c>
      <c r="B12" s="194">
        <v>30000</v>
      </c>
      <c r="C12" s="3">
        <f t="shared" si="1"/>
        <v>3.1800715516099113E-4</v>
      </c>
      <c r="D12" s="58"/>
      <c r="E12" s="15"/>
      <c r="F12" s="16">
        <f>E12/E$1</f>
        <v>0</v>
      </c>
      <c r="G12" s="66" t="s">
        <v>149</v>
      </c>
      <c r="H12" s="67">
        <v>764600</v>
      </c>
      <c r="I12" s="3">
        <f t="shared" si="4"/>
        <v>8.1049423612031268E-3</v>
      </c>
      <c r="J12" s="78" t="s">
        <v>71</v>
      </c>
      <c r="K12" s="110"/>
      <c r="L12" s="101">
        <f t="shared" si="5"/>
        <v>0</v>
      </c>
      <c r="M12" s="62"/>
      <c r="N12" s="15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6" t="s">
        <v>40</v>
      </c>
      <c r="B13" s="195">
        <v>1108800</v>
      </c>
      <c r="C13" s="3">
        <f t="shared" si="1"/>
        <v>1.1753544454750232E-2</v>
      </c>
      <c r="D13" s="58"/>
      <c r="E13" s="15"/>
      <c r="F13" s="16">
        <f t="shared" ref="F13:F16" si="7">E13/E$1</f>
        <v>0</v>
      </c>
      <c r="G13" s="66" t="s">
        <v>56</v>
      </c>
      <c r="H13" s="67">
        <v>2361130</v>
      </c>
      <c r="I13" s="3">
        <f>H13/E$1</f>
        <v>2.50285411421757E-2</v>
      </c>
      <c r="J13" s="79" t="s">
        <v>21</v>
      </c>
      <c r="K13" s="144">
        <f>E1*1.8%</f>
        <v>1698075.0000000002</v>
      </c>
      <c r="L13" s="101">
        <f t="shared" si="5"/>
        <v>1.8000000000000002E-2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47" t="s">
        <v>51</v>
      </c>
      <c r="B14" s="195">
        <v>1035000</v>
      </c>
      <c r="C14" s="3">
        <f t="shared" si="1"/>
        <v>1.0971246853054194E-2</v>
      </c>
      <c r="D14" s="58"/>
      <c r="E14" s="15"/>
      <c r="F14" s="16">
        <f t="shared" si="7"/>
        <v>0</v>
      </c>
      <c r="G14" s="47" t="s">
        <v>70</v>
      </c>
      <c r="H14" s="67"/>
      <c r="I14" s="3">
        <f t="shared" si="4"/>
        <v>0</v>
      </c>
      <c r="J14" s="80"/>
      <c r="K14" s="145"/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63" t="s">
        <v>65</v>
      </c>
      <c r="B15" s="195">
        <v>682000</v>
      </c>
      <c r="C15" s="3">
        <f t="shared" si="1"/>
        <v>7.229362660659865E-3</v>
      </c>
      <c r="D15" s="59"/>
      <c r="E15" s="15"/>
      <c r="F15" s="16">
        <f t="shared" si="7"/>
        <v>0</v>
      </c>
      <c r="G15" s="71" t="s">
        <v>72</v>
      </c>
      <c r="H15" s="67">
        <v>500000</v>
      </c>
      <c r="I15" s="3">
        <f t="shared" si="4"/>
        <v>5.300119252683185E-3</v>
      </c>
      <c r="J15" s="60"/>
      <c r="K15" s="145"/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48" t="s">
        <v>73</v>
      </c>
      <c r="B16" s="195">
        <f>140000*6</f>
        <v>840000</v>
      </c>
      <c r="C16" s="3">
        <f t="shared" si="1"/>
        <v>8.9042003445077515E-3</v>
      </c>
      <c r="D16" s="58" t="s">
        <v>28</v>
      </c>
      <c r="E16" s="15">
        <v>2064000</v>
      </c>
      <c r="F16" s="16">
        <f t="shared" si="7"/>
        <v>2.1878892275076188E-2</v>
      </c>
      <c r="G16" s="71" t="s">
        <v>74</v>
      </c>
      <c r="H16" s="163">
        <v>25000</v>
      </c>
      <c r="I16" s="3">
        <f t="shared" si="4"/>
        <v>2.6500596263415925E-4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62" t="s">
        <v>144</v>
      </c>
      <c r="B17" s="196"/>
      <c r="C17" s="3">
        <f t="shared" si="1"/>
        <v>0</v>
      </c>
      <c r="D17" s="17"/>
      <c r="E17" s="15"/>
      <c r="F17" s="16"/>
      <c r="G17" s="76" t="s">
        <v>150</v>
      </c>
      <c r="H17" s="64">
        <v>335000</v>
      </c>
      <c r="I17" s="3">
        <f t="shared" si="4"/>
        <v>3.5510798992977343E-3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s="28" customFormat="1" ht="18" customHeight="1" outlineLevel="1" thickTop="1" thickBot="1" x14ac:dyDescent="0.4">
      <c r="A18" s="62" t="s">
        <v>47</v>
      </c>
      <c r="B18" s="196">
        <f>52920+67000+66900+10380+46470+25660+14590+62500+43910+52920+9780+12210</f>
        <v>465240</v>
      </c>
      <c r="C18" s="3">
        <f t="shared" si="1"/>
        <v>4.9316549622366503E-3</v>
      </c>
      <c r="D18" s="17"/>
      <c r="E18" s="15"/>
      <c r="F18" s="16"/>
      <c r="G18" s="147" t="s">
        <v>94</v>
      </c>
      <c r="H18" s="164">
        <v>322000</v>
      </c>
      <c r="I18" s="3">
        <f t="shared" si="4"/>
        <v>3.4132767987279716E-3</v>
      </c>
      <c r="J18" s="61"/>
      <c r="K18" s="145"/>
      <c r="L18" s="3"/>
      <c r="M18" s="3"/>
      <c r="N18" s="3"/>
      <c r="O18" s="87">
        <f t="shared" si="3"/>
        <v>0</v>
      </c>
      <c r="P18" s="109"/>
      <c r="Q18" s="20"/>
      <c r="R18" s="10">
        <f t="shared" si="6"/>
        <v>0</v>
      </c>
      <c r="S18" s="27"/>
    </row>
    <row r="19" spans="1:19" s="28" customFormat="1" ht="18" customHeight="1" outlineLevel="1" thickTop="1" thickBot="1" x14ac:dyDescent="0.4">
      <c r="A19" s="62" t="s">
        <v>45</v>
      </c>
      <c r="B19" s="195">
        <f>52600+31200+166800+83100+122400+39500+5700+75800+122400+117450+19360+43200</f>
        <v>879510</v>
      </c>
      <c r="C19" s="3">
        <f t="shared" si="1"/>
        <v>9.3230157678547768E-3</v>
      </c>
      <c r="D19" s="14"/>
      <c r="E19" s="15"/>
      <c r="F19" s="16"/>
      <c r="G19" s="78" t="s">
        <v>151</v>
      </c>
      <c r="H19" s="64">
        <f>36300+4000+100+5000+12000+20000+31500+8500</f>
        <v>117400</v>
      </c>
      <c r="I19" s="82">
        <f>H19/E$1</f>
        <v>1.2444680005300119E-3</v>
      </c>
      <c r="J19" s="62"/>
      <c r="K19" s="145"/>
      <c r="L19" s="3"/>
      <c r="M19" s="3"/>
      <c r="N19" s="3"/>
      <c r="O19" s="87">
        <f t="shared" si="3"/>
        <v>0</v>
      </c>
      <c r="P19" s="107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48" t="s">
        <v>95</v>
      </c>
      <c r="B20" s="195">
        <f>132000+135000</f>
        <v>267000</v>
      </c>
      <c r="C20" s="3">
        <f t="shared" si="1"/>
        <v>2.8302636809328209E-3</v>
      </c>
      <c r="D20" s="17"/>
      <c r="E20" s="15"/>
      <c r="F20" s="16"/>
      <c r="G20" s="62" t="s">
        <v>46</v>
      </c>
      <c r="H20" s="64">
        <f>106500+76000</f>
        <v>182500</v>
      </c>
      <c r="I20" s="3">
        <f t="shared" si="4"/>
        <v>1.9345435272293628E-3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/>
      <c r="B21" s="195"/>
      <c r="C21" s="3">
        <f t="shared" si="1"/>
        <v>0</v>
      </c>
      <c r="D21" s="17"/>
      <c r="E21" s="15"/>
      <c r="F21" s="16"/>
      <c r="G21" s="69" t="s">
        <v>152</v>
      </c>
      <c r="H21" s="67">
        <f>2010+6920+4000+6500+6480+16250+13030+11490+72000</f>
        <v>138680</v>
      </c>
      <c r="I21" s="3">
        <f t="shared" si="4"/>
        <v>1.4700410759242084E-3</v>
      </c>
      <c r="J21" s="62"/>
      <c r="K21" s="145"/>
      <c r="L21" s="3"/>
      <c r="M21" s="3"/>
      <c r="N21" s="3"/>
      <c r="O21" s="87">
        <f t="shared" si="3"/>
        <v>0</v>
      </c>
      <c r="P21" s="113"/>
      <c r="Q21" s="114"/>
      <c r="R21" s="114"/>
      <c r="S21" s="98">
        <f>SUM(S6:S20)</f>
        <v>0</v>
      </c>
    </row>
    <row r="22" spans="1:19" s="28" customFormat="1" ht="18" customHeight="1" outlineLevel="1" thickTop="1" thickBot="1" x14ac:dyDescent="0.35">
      <c r="A22" s="25"/>
      <c r="B22" s="195"/>
      <c r="C22" s="3">
        <f t="shared" si="1"/>
        <v>0</v>
      </c>
      <c r="D22" s="17"/>
      <c r="E22" s="15"/>
      <c r="F22" s="16"/>
      <c r="G22" s="71" t="s">
        <v>154</v>
      </c>
      <c r="H22" s="163">
        <v>38500</v>
      </c>
      <c r="I22" s="3">
        <f t="shared" si="4"/>
        <v>4.0810918245660525E-4</v>
      </c>
      <c r="J22" s="62"/>
      <c r="K22" s="145"/>
      <c r="L22" s="3"/>
      <c r="M22" s="3"/>
      <c r="N22" s="3"/>
      <c r="O22" s="87">
        <f t="shared" si="3"/>
        <v>0</v>
      </c>
      <c r="P22" s="106" t="s">
        <v>29</v>
      </c>
      <c r="Q22" s="115">
        <f>Q2-Q5</f>
        <v>6032764.7000000011</v>
      </c>
      <c r="R22" s="10">
        <f>Q22/E1</f>
        <v>6.3948744666755014E-2</v>
      </c>
      <c r="S22" s="22"/>
    </row>
    <row r="23" spans="1:19" s="28" customFormat="1" ht="18" customHeight="1" outlineLevel="1" thickTop="1" thickBot="1" x14ac:dyDescent="0.35">
      <c r="A23" s="25"/>
      <c r="B23" s="195"/>
      <c r="C23" s="3">
        <f t="shared" si="1"/>
        <v>0</v>
      </c>
      <c r="D23" s="14"/>
      <c r="E23" s="15"/>
      <c r="F23" s="3"/>
      <c r="G23" s="72"/>
      <c r="H23" s="73"/>
      <c r="I23" s="3">
        <f t="shared" si="4"/>
        <v>0</v>
      </c>
      <c r="J23" s="62"/>
      <c r="K23" s="145"/>
      <c r="L23" s="3"/>
      <c r="M23" s="3"/>
      <c r="N23" s="3"/>
      <c r="O23" s="87">
        <f t="shared" si="3"/>
        <v>0</v>
      </c>
      <c r="P23" s="113"/>
      <c r="Q23" s="114"/>
      <c r="R23" s="114"/>
      <c r="S23" s="22"/>
    </row>
    <row r="24" spans="1:19" s="26" customFormat="1" ht="18" customHeight="1" thickTop="1" x14ac:dyDescent="0.25">
      <c r="G24" s="29"/>
      <c r="H24" s="30"/>
    </row>
    <row r="25" spans="1:19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5"/>
      <c r="N25" s="37"/>
      <c r="O25" s="36"/>
      <c r="P25" s="36"/>
      <c r="Q25" s="35"/>
    </row>
    <row r="26" spans="1:19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8"/>
      <c r="N26" s="35"/>
      <c r="O26" s="36"/>
      <c r="P26" s="38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9"/>
      <c r="Q34" s="36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6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35"/>
      <c r="O38" s="42"/>
      <c r="P38" s="42"/>
      <c r="Q38" s="42"/>
    </row>
    <row r="39" spans="1:17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3"/>
      <c r="N39" s="35"/>
      <c r="O39" s="42"/>
      <c r="P39" s="42"/>
      <c r="Q39" s="42"/>
    </row>
    <row r="40" spans="1:17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35"/>
      <c r="O40" s="42"/>
      <c r="P40" s="42"/>
      <c r="Q40" s="35"/>
    </row>
    <row r="41" spans="1:17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  <c r="P41" s="36"/>
      <c r="Q41" s="36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34D5-C9BE-40C4-B238-AF17A3B3C241}">
  <dimension ref="A1:S44"/>
  <sheetViews>
    <sheetView zoomScale="85" zoomScaleNormal="85" workbookViewId="0">
      <selection activeCell="K7" sqref="K7"/>
    </sheetView>
  </sheetViews>
  <sheetFormatPr defaultColWidth="8.75" defaultRowHeight="14" outlineLevelRow="1" x14ac:dyDescent="0.25"/>
  <cols>
    <col min="1" max="1" width="21.08203125" style="31" customWidth="1"/>
    <col min="2" max="2" width="12.5" style="32" bestFit="1" customWidth="1"/>
    <col min="3" max="3" width="11.08203125" style="31" customWidth="1"/>
    <col min="4" max="4" width="10.75" style="31" bestFit="1" customWidth="1"/>
    <col min="5" max="5" width="11.75" style="12" customWidth="1"/>
    <col min="6" max="6" width="9.582031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8.75" style="12" bestFit="1" customWidth="1"/>
    <col min="19" max="16384" width="8.75" style="12"/>
  </cols>
  <sheetData>
    <row r="1" spans="1:19" s="4" customFormat="1" ht="34.5" customHeight="1" x14ac:dyDescent="0.25">
      <c r="A1" s="225" t="s">
        <v>156</v>
      </c>
      <c r="B1" s="226"/>
      <c r="C1" s="226"/>
      <c r="D1" s="92" t="s">
        <v>0</v>
      </c>
      <c r="E1" s="93">
        <v>119006000</v>
      </c>
      <c r="F1" s="94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SUM(B3:B23)</f>
        <v>42366401</v>
      </c>
      <c r="C2" s="95">
        <f t="shared" ref="C2:C23" si="1">B2/E$1</f>
        <v>0.35600222677848176</v>
      </c>
      <c r="D2" s="96" t="s">
        <v>44</v>
      </c>
      <c r="E2" s="6">
        <f>SUM(E3:E23)</f>
        <v>32740218</v>
      </c>
      <c r="F2" s="87">
        <f t="shared" si="0"/>
        <v>0.27511401105826599</v>
      </c>
      <c r="G2" s="96" t="s">
        <v>2</v>
      </c>
      <c r="H2" s="86">
        <f>SUM(H3:H23)</f>
        <v>13400356</v>
      </c>
      <c r="I2" s="87">
        <f>H2/E$1</f>
        <v>0.11260235618372183</v>
      </c>
      <c r="J2" s="97" t="s">
        <v>3</v>
      </c>
      <c r="K2" s="88">
        <f>SUM(K3:K23)</f>
        <v>14916524.600000001</v>
      </c>
      <c r="L2" s="87">
        <f t="shared" ref="L2" si="2">K2/E$1</f>
        <v>0.12534262642219721</v>
      </c>
      <c r="M2" s="75" t="s">
        <v>22</v>
      </c>
      <c r="N2" s="86">
        <f>SUM(N3:N23)</f>
        <v>4581248</v>
      </c>
      <c r="O2" s="87">
        <f>N2/E$1</f>
        <v>3.8495941381106832E-2</v>
      </c>
      <c r="P2" s="89" t="s">
        <v>4</v>
      </c>
      <c r="Q2" s="90">
        <f>E1-B2-E2-H2-K2-N2</f>
        <v>11001252.399999999</v>
      </c>
      <c r="R2" s="91">
        <f>Q2/E1</f>
        <v>9.2442838176226394E-2</v>
      </c>
      <c r="S2" s="11"/>
    </row>
    <row r="3" spans="1:19" ht="18" customHeight="1" outlineLevel="1" thickTop="1" thickBot="1" x14ac:dyDescent="0.35">
      <c r="A3" s="50" t="s">
        <v>5</v>
      </c>
      <c r="B3" s="194">
        <v>1776120</v>
      </c>
      <c r="C3" s="82">
        <f t="shared" si="1"/>
        <v>1.4924625649126935E-2</v>
      </c>
      <c r="D3" s="83" t="s">
        <v>36</v>
      </c>
      <c r="E3" s="84">
        <v>5000000</v>
      </c>
      <c r="F3" s="85">
        <f t="shared" si="0"/>
        <v>4.2014688335041933E-2</v>
      </c>
      <c r="G3" s="66" t="s">
        <v>37</v>
      </c>
      <c r="H3" s="140">
        <v>5500000</v>
      </c>
      <c r="I3" s="3">
        <f>H3/E$1</f>
        <v>4.6216157168546122E-2</v>
      </c>
      <c r="J3" s="100" t="s">
        <v>6</v>
      </c>
      <c r="K3" s="141">
        <f>E1*5%</f>
        <v>5950300</v>
      </c>
      <c r="L3" s="101">
        <f>K3/E$1</f>
        <v>0.05</v>
      </c>
      <c r="M3" s="80" t="s">
        <v>24</v>
      </c>
      <c r="N3" s="15">
        <v>1469500</v>
      </c>
      <c r="O3" s="87">
        <f t="shared" ref="O3:O23" si="3">N3/E$1</f>
        <v>1.2348116901668824E-2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10867270</v>
      </c>
      <c r="C4" s="3">
        <f t="shared" si="1"/>
        <v>9.1316992420550219E-2</v>
      </c>
      <c r="D4" s="57" t="s">
        <v>34</v>
      </c>
      <c r="E4" s="15">
        <v>3650746</v>
      </c>
      <c r="F4" s="16">
        <f>E4/E$1</f>
        <v>3.0676991076080198E-2</v>
      </c>
      <c r="G4" s="65" t="s">
        <v>8</v>
      </c>
      <c r="H4" s="64"/>
      <c r="I4" s="3">
        <f t="shared" ref="I4:I23" si="4">H4/E$1</f>
        <v>0</v>
      </c>
      <c r="J4" s="158" t="s">
        <v>9</v>
      </c>
      <c r="K4" s="159"/>
      <c r="L4" s="101">
        <f t="shared" ref="L4:L13" si="5">K4/E$1</f>
        <v>0</v>
      </c>
      <c r="M4" s="61" t="s">
        <v>41</v>
      </c>
      <c r="N4" s="15">
        <v>165000</v>
      </c>
      <c r="O4" s="87">
        <f t="shared" si="3"/>
        <v>1.3864847150563838E-3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3753000</v>
      </c>
      <c r="C5" s="3">
        <f t="shared" si="1"/>
        <v>3.1536225064282476E-2</v>
      </c>
      <c r="D5" s="58" t="s">
        <v>49</v>
      </c>
      <c r="E5" s="15">
        <v>3306440</v>
      </c>
      <c r="F5" s="16">
        <f>E5/E$1</f>
        <v>2.7783809219703207E-2</v>
      </c>
      <c r="G5" s="66" t="s">
        <v>59</v>
      </c>
      <c r="H5" s="64">
        <v>185000</v>
      </c>
      <c r="I5" s="3">
        <f t="shared" si="4"/>
        <v>1.5545434683965514E-3</v>
      </c>
      <c r="J5" s="162"/>
      <c r="K5" s="162"/>
      <c r="L5" s="101">
        <f t="shared" si="5"/>
        <v>0</v>
      </c>
      <c r="M5" s="61" t="s">
        <v>42</v>
      </c>
      <c r="N5" s="15">
        <f>97661+198419</f>
        <v>296080</v>
      </c>
      <c r="O5" s="87">
        <f t="shared" si="3"/>
        <v>2.4879417844478431E-3</v>
      </c>
      <c r="P5" s="106" t="s">
        <v>11</v>
      </c>
      <c r="Q5" s="18">
        <f>SUM(Q6:Q20)</f>
        <v>132917</v>
      </c>
      <c r="R5" s="10">
        <f t="shared" ref="R5:R20" si="6">Q5/E$1</f>
        <v>1.1168932658857536E-3</v>
      </c>
      <c r="S5" s="19"/>
    </row>
    <row r="6" spans="1:19" ht="18" customHeight="1" outlineLevel="1" thickTop="1" thickBot="1" x14ac:dyDescent="0.4">
      <c r="A6" s="51" t="s">
        <v>12</v>
      </c>
      <c r="B6" s="195">
        <v>929400</v>
      </c>
      <c r="C6" s="3">
        <f t="shared" si="1"/>
        <v>7.809690267717594E-3</v>
      </c>
      <c r="D6" s="57" t="s">
        <v>52</v>
      </c>
      <c r="E6" s="15">
        <v>2029130</v>
      </c>
      <c r="F6" s="16">
        <f t="shared" si="0"/>
        <v>1.7050652908256726E-2</v>
      </c>
      <c r="G6" s="65" t="s">
        <v>15</v>
      </c>
      <c r="H6" s="64">
        <v>110000</v>
      </c>
      <c r="I6" s="3">
        <f t="shared" si="4"/>
        <v>9.2432314337092245E-4</v>
      </c>
      <c r="J6" s="160"/>
      <c r="K6" s="161"/>
      <c r="L6" s="101">
        <f t="shared" si="5"/>
        <v>0</v>
      </c>
      <c r="M6" s="61" t="s">
        <v>143</v>
      </c>
      <c r="N6" s="15">
        <v>935000</v>
      </c>
      <c r="O6" s="87">
        <f t="shared" si="3"/>
        <v>7.8567467186528416E-3</v>
      </c>
      <c r="P6" s="107" t="s">
        <v>57</v>
      </c>
      <c r="Q6" s="20">
        <v>132917</v>
      </c>
      <c r="R6" s="10">
        <f t="shared" si="6"/>
        <v>1.1168932658857536E-3</v>
      </c>
      <c r="S6" s="21"/>
    </row>
    <row r="7" spans="1:19" ht="18" customHeight="1" outlineLevel="1" thickTop="1" thickBot="1" x14ac:dyDescent="0.4">
      <c r="A7" s="52" t="s">
        <v>32</v>
      </c>
      <c r="B7" s="195">
        <v>8777000</v>
      </c>
      <c r="C7" s="3">
        <f t="shared" si="1"/>
        <v>7.37525839033326E-2</v>
      </c>
      <c r="D7" s="58" t="s">
        <v>54</v>
      </c>
      <c r="E7" s="15">
        <v>3346440</v>
      </c>
      <c r="F7" s="16">
        <f t="shared" si="0"/>
        <v>2.8119926726383544E-2</v>
      </c>
      <c r="G7" s="65" t="s">
        <v>18</v>
      </c>
      <c r="H7" s="64">
        <v>46240</v>
      </c>
      <c r="I7" s="3">
        <f t="shared" si="4"/>
        <v>3.8855183772246778E-4</v>
      </c>
      <c r="J7" s="78" t="s">
        <v>13</v>
      </c>
      <c r="K7" s="144">
        <f>E2*20%</f>
        <v>6548043.6000000006</v>
      </c>
      <c r="L7" s="101">
        <f t="shared" si="5"/>
        <v>5.5022802211653198E-2</v>
      </c>
      <c r="M7" s="62" t="s">
        <v>141</v>
      </c>
      <c r="N7" s="15">
        <f>50888+153722+153884+153165+149998+151425+149998</f>
        <v>963080</v>
      </c>
      <c r="O7" s="87">
        <f t="shared" si="3"/>
        <v>8.0927012083424361E-3</v>
      </c>
      <c r="P7" s="107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6372500</v>
      </c>
      <c r="C8" s="3">
        <f t="shared" si="1"/>
        <v>5.3547720283010941E-2</v>
      </c>
      <c r="D8" s="58" t="s">
        <v>66</v>
      </c>
      <c r="E8" s="15">
        <v>3650746</v>
      </c>
      <c r="F8" s="16">
        <f t="shared" si="0"/>
        <v>3.0676991076080198E-2</v>
      </c>
      <c r="G8" s="65" t="s">
        <v>23</v>
      </c>
      <c r="H8" s="67">
        <v>1685000</v>
      </c>
      <c r="I8" s="3">
        <f t="shared" si="4"/>
        <v>1.4158949968909131E-2</v>
      </c>
      <c r="J8" s="76" t="s">
        <v>14</v>
      </c>
      <c r="K8" s="197">
        <v>165000</v>
      </c>
      <c r="L8" s="101">
        <f t="shared" si="5"/>
        <v>1.3864847150563838E-3</v>
      </c>
      <c r="M8" s="62" t="s">
        <v>147</v>
      </c>
      <c r="N8" s="15">
        <v>154638</v>
      </c>
      <c r="O8" s="87">
        <f t="shared" si="3"/>
        <v>1.2994134749508429E-3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1364000</v>
      </c>
      <c r="C9" s="3">
        <f t="shared" si="1"/>
        <v>1.1461606977799438E-2</v>
      </c>
      <c r="D9" s="57" t="s">
        <v>67</v>
      </c>
      <c r="E9" s="15">
        <v>2799300</v>
      </c>
      <c r="F9" s="16">
        <f t="shared" si="0"/>
        <v>2.3522343411256575E-2</v>
      </c>
      <c r="G9" s="65" t="s">
        <v>25</v>
      </c>
      <c r="H9" s="218">
        <v>300000</v>
      </c>
      <c r="I9" s="3">
        <f t="shared" si="4"/>
        <v>2.5208813001025157E-3</v>
      </c>
      <c r="J9" s="76" t="s">
        <v>16</v>
      </c>
      <c r="K9" s="108"/>
      <c r="L9" s="101">
        <f t="shared" si="5"/>
        <v>0</v>
      </c>
      <c r="M9" s="62" t="s">
        <v>153</v>
      </c>
      <c r="N9" s="15">
        <v>120950</v>
      </c>
      <c r="O9" s="87">
        <f t="shared" si="3"/>
        <v>1.0163353108246643E-3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v>1693145</v>
      </c>
      <c r="C10" s="3">
        <f t="shared" si="1"/>
        <v>1.4227391896206913E-2</v>
      </c>
      <c r="D10" s="58" t="s">
        <v>68</v>
      </c>
      <c r="E10" s="15">
        <v>1058832</v>
      </c>
      <c r="F10" s="16">
        <f t="shared" si="0"/>
        <v>8.8972992958338236E-3</v>
      </c>
      <c r="G10" s="66" t="s">
        <v>69</v>
      </c>
      <c r="H10" s="67">
        <v>220000</v>
      </c>
      <c r="I10" s="3">
        <f t="shared" si="4"/>
        <v>1.8486462867418449E-3</v>
      </c>
      <c r="J10" s="78" t="s">
        <v>19</v>
      </c>
      <c r="K10" s="144">
        <v>90873</v>
      </c>
      <c r="L10" s="101">
        <f t="shared" si="5"/>
        <v>7.6360015461405303E-4</v>
      </c>
      <c r="M10" s="62" t="s">
        <v>158</v>
      </c>
      <c r="N10" s="15">
        <v>77000</v>
      </c>
      <c r="O10" s="87">
        <f t="shared" si="3"/>
        <v>6.4702620035964574E-4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6" t="s">
        <v>27</v>
      </c>
      <c r="B11" s="195">
        <v>323000</v>
      </c>
      <c r="C11" s="3">
        <f t="shared" si="1"/>
        <v>2.7141488664437089E-3</v>
      </c>
      <c r="D11" s="58"/>
      <c r="E11" s="15"/>
      <c r="F11" s="16">
        <f>E11/E$1</f>
        <v>0</v>
      </c>
      <c r="G11" s="76" t="s">
        <v>10</v>
      </c>
      <c r="H11" s="64"/>
      <c r="I11" s="3">
        <f>H11/E$1</f>
        <v>0</v>
      </c>
      <c r="J11" s="78" t="s">
        <v>98</v>
      </c>
      <c r="K11" s="144">
        <v>20200</v>
      </c>
      <c r="L11" s="101">
        <f t="shared" si="5"/>
        <v>1.6973934087356941E-4</v>
      </c>
      <c r="M11" s="62" t="s">
        <v>161</v>
      </c>
      <c r="N11" s="15">
        <v>400000</v>
      </c>
      <c r="O11" s="87">
        <f t="shared" si="3"/>
        <v>3.3611750668033546E-3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4" t="s">
        <v>39</v>
      </c>
      <c r="B12" s="194">
        <v>30000</v>
      </c>
      <c r="C12" s="3">
        <f t="shared" si="1"/>
        <v>2.5208813001025156E-4</v>
      </c>
      <c r="D12" s="58"/>
      <c r="E12" s="15"/>
      <c r="F12" s="16">
        <f>E12/E$1</f>
        <v>0</v>
      </c>
      <c r="G12" s="66" t="s">
        <v>149</v>
      </c>
      <c r="H12" s="67">
        <v>758610</v>
      </c>
      <c r="I12" s="3">
        <f t="shared" si="4"/>
        <v>6.3745525435692316E-3</v>
      </c>
      <c r="J12" s="78" t="s">
        <v>71</v>
      </c>
      <c r="K12" s="110"/>
      <c r="L12" s="101">
        <f t="shared" si="5"/>
        <v>0</v>
      </c>
      <c r="M12" s="62"/>
      <c r="N12" s="3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6" t="s">
        <v>40</v>
      </c>
      <c r="B13" s="195">
        <v>1663200</v>
      </c>
      <c r="C13" s="3">
        <f t="shared" si="1"/>
        <v>1.3975765927768348E-2</v>
      </c>
      <c r="D13" s="58"/>
      <c r="E13" s="15"/>
      <c r="F13" s="16">
        <f t="shared" ref="F13:F16" si="7">E13/E$1</f>
        <v>0</v>
      </c>
      <c r="G13" s="66" t="s">
        <v>56</v>
      </c>
      <c r="H13" s="67">
        <v>1597450</v>
      </c>
      <c r="I13" s="3">
        <f>H13/E$1</f>
        <v>1.3423272776162546E-2</v>
      </c>
      <c r="J13" s="79" t="s">
        <v>21</v>
      </c>
      <c r="K13" s="144">
        <f>E1*1.8%</f>
        <v>2142108.0000000005</v>
      </c>
      <c r="L13" s="101">
        <f t="shared" si="5"/>
        <v>1.8000000000000006E-2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47" t="s">
        <v>51</v>
      </c>
      <c r="B14" s="195">
        <v>1150000</v>
      </c>
      <c r="C14" s="3">
        <f t="shared" si="1"/>
        <v>9.6633783170596444E-3</v>
      </c>
      <c r="D14" s="58"/>
      <c r="E14" s="15"/>
      <c r="F14" s="16">
        <f t="shared" si="7"/>
        <v>0</v>
      </c>
      <c r="G14" s="210" t="s">
        <v>70</v>
      </c>
      <c r="H14" s="67"/>
      <c r="I14" s="3">
        <f t="shared" si="4"/>
        <v>0</v>
      </c>
      <c r="J14" s="80"/>
      <c r="K14" s="145"/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63" t="s">
        <v>65</v>
      </c>
      <c r="B15" s="195">
        <v>858000</v>
      </c>
      <c r="C15" s="3">
        <f t="shared" si="1"/>
        <v>7.209720518293195E-3</v>
      </c>
      <c r="D15" s="59"/>
      <c r="E15" s="15"/>
      <c r="F15" s="16">
        <f t="shared" si="7"/>
        <v>0</v>
      </c>
      <c r="G15" s="80" t="s">
        <v>72</v>
      </c>
      <c r="H15" s="67">
        <v>500000</v>
      </c>
      <c r="I15" s="3">
        <f t="shared" si="4"/>
        <v>4.2014688335041935E-3</v>
      </c>
      <c r="J15" s="60"/>
      <c r="K15" s="145"/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48" t="s">
        <v>73</v>
      </c>
      <c r="B16" s="195">
        <f>140000*6</f>
        <v>840000</v>
      </c>
      <c r="C16" s="3">
        <f t="shared" si="1"/>
        <v>7.0584676402870444E-3</v>
      </c>
      <c r="D16" s="58" t="s">
        <v>28</v>
      </c>
      <c r="E16" s="15">
        <v>7898584</v>
      </c>
      <c r="F16" s="16">
        <f t="shared" si="7"/>
        <v>6.6371309009629773E-2</v>
      </c>
      <c r="G16" s="80" t="s">
        <v>74</v>
      </c>
      <c r="H16" s="163">
        <v>21000</v>
      </c>
      <c r="I16" s="3">
        <f t="shared" si="4"/>
        <v>1.7646169100717611E-4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62" t="s">
        <v>144</v>
      </c>
      <c r="B17" s="196">
        <v>25800</v>
      </c>
      <c r="C17" s="3">
        <f t="shared" si="1"/>
        <v>2.1679579180881636E-4</v>
      </c>
      <c r="D17" s="17"/>
      <c r="E17" s="15"/>
      <c r="F17" s="16"/>
      <c r="G17" s="76" t="s">
        <v>150</v>
      </c>
      <c r="H17" s="64">
        <v>276000</v>
      </c>
      <c r="I17" s="3">
        <f t="shared" si="4"/>
        <v>2.3192107960943145E-3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s="28" customFormat="1" ht="18" customHeight="1" outlineLevel="1" thickTop="1" thickBot="1" x14ac:dyDescent="0.4">
      <c r="A18" s="62" t="s">
        <v>157</v>
      </c>
      <c r="B18" s="196">
        <f>143000*3</f>
        <v>429000</v>
      </c>
      <c r="C18" s="3">
        <f t="shared" si="1"/>
        <v>3.6048602591465975E-3</v>
      </c>
      <c r="D18" s="17"/>
      <c r="E18" s="15"/>
      <c r="F18" s="16"/>
      <c r="G18" s="147" t="s">
        <v>94</v>
      </c>
      <c r="H18" s="164">
        <v>322000</v>
      </c>
      <c r="I18" s="3">
        <f t="shared" si="4"/>
        <v>2.7057459287767004E-3</v>
      </c>
      <c r="J18" s="61"/>
      <c r="K18" s="145"/>
      <c r="L18" s="3"/>
      <c r="M18" s="3"/>
      <c r="N18" s="3"/>
      <c r="O18" s="87">
        <f t="shared" si="3"/>
        <v>0</v>
      </c>
      <c r="P18" s="109"/>
      <c r="Q18" s="20"/>
      <c r="R18" s="10">
        <f t="shared" si="6"/>
        <v>0</v>
      </c>
      <c r="S18" s="27"/>
    </row>
    <row r="19" spans="1:19" s="28" customFormat="1" ht="18" customHeight="1" outlineLevel="1" thickTop="1" thickBot="1" x14ac:dyDescent="0.4">
      <c r="A19" s="62" t="s">
        <v>47</v>
      </c>
      <c r="B19" s="195">
        <f>52920+28250+10380+4690+18500+11390+12460+31250+34550+12600+11500+27950+52920+11150</f>
        <v>320510</v>
      </c>
      <c r="C19" s="3">
        <f t="shared" si="1"/>
        <v>2.693225551652858E-3</v>
      </c>
      <c r="D19" s="14"/>
      <c r="E19" s="15"/>
      <c r="F19" s="16"/>
      <c r="G19" s="78" t="s">
        <v>97</v>
      </c>
      <c r="H19" s="64">
        <f>18600+3000+135000+28000+23000+48100+415660+134500+112110+2470+49400+49400+80300+16800+74100+5000+20546+31500+35800</f>
        <v>1283286</v>
      </c>
      <c r="I19" s="82">
        <f>H19/E$1</f>
        <v>1.0783372266944523E-2</v>
      </c>
      <c r="J19" s="62"/>
      <c r="K19" s="145"/>
      <c r="L19" s="3"/>
      <c r="M19" s="3"/>
      <c r="N19" s="3"/>
      <c r="O19" s="87">
        <f t="shared" si="3"/>
        <v>0</v>
      </c>
      <c r="P19" s="107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62" t="s">
        <v>45</v>
      </c>
      <c r="B20" s="195">
        <f>150900+42660+21600+97144+17950+54500+28900+137220+24720+135000+46200+131802</f>
        <v>888596</v>
      </c>
      <c r="C20" s="3">
        <f t="shared" si="1"/>
        <v>7.4668167991529836E-3</v>
      </c>
      <c r="D20" s="17"/>
      <c r="E20" s="15"/>
      <c r="F20" s="16"/>
      <c r="G20" s="62" t="s">
        <v>46</v>
      </c>
      <c r="H20" s="64">
        <f>32000+23490+5000+32000+660+1650+5000+32000+32000+9350+19360+5000</f>
        <v>197510</v>
      </c>
      <c r="I20" s="3">
        <f t="shared" si="4"/>
        <v>1.6596642186108264E-3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 t="s">
        <v>95</v>
      </c>
      <c r="B21" s="195">
        <f>30860</f>
        <v>30860</v>
      </c>
      <c r="C21" s="3">
        <f t="shared" si="1"/>
        <v>2.5931465640387881E-4</v>
      </c>
      <c r="D21" s="17"/>
      <c r="E21" s="15"/>
      <c r="F21" s="16"/>
      <c r="G21" s="69" t="s">
        <v>152</v>
      </c>
      <c r="H21" s="67">
        <f>20280+35830+8940+12700+16980+45900+15600+7900+950+4270+18830+12680+3900</f>
        <v>204760</v>
      </c>
      <c r="I21" s="3">
        <f t="shared" si="4"/>
        <v>1.7205855166966373E-3</v>
      </c>
      <c r="J21" s="62"/>
      <c r="K21" s="145"/>
      <c r="L21" s="3"/>
      <c r="M21" s="3"/>
      <c r="N21" s="3"/>
      <c r="O21" s="87">
        <f t="shared" si="3"/>
        <v>0</v>
      </c>
      <c r="P21" s="113"/>
      <c r="Q21" s="114"/>
      <c r="R21" s="114"/>
      <c r="S21" s="98">
        <f>SUM(S6:S20)</f>
        <v>0</v>
      </c>
    </row>
    <row r="22" spans="1:19" s="28" customFormat="1" ht="18" customHeight="1" outlineLevel="1" thickTop="1" thickBot="1" x14ac:dyDescent="0.35">
      <c r="A22" s="48" t="s">
        <v>160</v>
      </c>
      <c r="B22" s="195">
        <v>275000</v>
      </c>
      <c r="C22" s="3">
        <f t="shared" si="1"/>
        <v>2.310807858427306E-3</v>
      </c>
      <c r="D22" s="17"/>
      <c r="E22" s="15"/>
      <c r="F22" s="16"/>
      <c r="G22" s="80" t="s">
        <v>154</v>
      </c>
      <c r="H22" s="163">
        <v>38500</v>
      </c>
      <c r="I22" s="3">
        <f t="shared" si="4"/>
        <v>3.2351310017982287E-4</v>
      </c>
      <c r="J22" s="62"/>
      <c r="K22" s="145"/>
      <c r="L22" s="3"/>
      <c r="M22" s="3"/>
      <c r="N22" s="3"/>
      <c r="O22" s="87">
        <f t="shared" si="3"/>
        <v>0</v>
      </c>
      <c r="P22" s="106" t="s">
        <v>29</v>
      </c>
      <c r="Q22" s="115">
        <f>Q2-Q5</f>
        <v>10868335.399999999</v>
      </c>
      <c r="R22" s="10">
        <f>Q22/E1</f>
        <v>9.1325944910340642E-2</v>
      </c>
      <c r="S22" s="22"/>
    </row>
    <row r="23" spans="1:19" s="28" customFormat="1" ht="18" customHeight="1" outlineLevel="1" thickTop="1" thickBot="1" x14ac:dyDescent="0.35">
      <c r="A23" s="25"/>
      <c r="B23" s="195"/>
      <c r="C23" s="3">
        <f t="shared" si="1"/>
        <v>0</v>
      </c>
      <c r="D23" s="14"/>
      <c r="E23" s="15"/>
      <c r="F23" s="3"/>
      <c r="G23" s="61" t="s">
        <v>162</v>
      </c>
      <c r="H23" s="219">
        <v>155000</v>
      </c>
      <c r="I23" s="3">
        <f t="shared" si="4"/>
        <v>1.3024553383862998E-3</v>
      </c>
      <c r="J23" s="62"/>
      <c r="K23" s="145"/>
      <c r="L23" s="3"/>
      <c r="M23" s="3"/>
      <c r="N23" s="3"/>
      <c r="O23" s="87">
        <f t="shared" si="3"/>
        <v>0</v>
      </c>
      <c r="P23" s="113"/>
      <c r="Q23" s="114"/>
      <c r="R23" s="114"/>
      <c r="S23" s="22"/>
    </row>
    <row r="24" spans="1:19" s="26" customFormat="1" ht="18" customHeight="1" thickTop="1" x14ac:dyDescent="0.25">
      <c r="G24" s="29"/>
      <c r="H24" s="30"/>
    </row>
    <row r="25" spans="1:19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5"/>
      <c r="N25" s="37"/>
      <c r="O25" s="36"/>
      <c r="P25" s="36"/>
      <c r="Q25" s="35"/>
    </row>
    <row r="26" spans="1:19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8"/>
      <c r="N26" s="35"/>
      <c r="O26" s="36"/>
      <c r="P26" s="38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9"/>
      <c r="Q34" s="36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6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35"/>
      <c r="O38" s="42"/>
      <c r="P38" s="42"/>
      <c r="Q38" s="42"/>
    </row>
    <row r="39" spans="1:17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3"/>
      <c r="N39" s="35"/>
      <c r="O39" s="42"/>
      <c r="P39" s="42"/>
      <c r="Q39" s="42"/>
    </row>
    <row r="40" spans="1:17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35"/>
      <c r="O40" s="42"/>
      <c r="P40" s="42"/>
      <c r="Q40" s="35"/>
    </row>
    <row r="41" spans="1:17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  <c r="P41" s="36"/>
      <c r="Q41" s="36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4334-C59D-4E33-9C56-4F90FA4584F3}">
  <dimension ref="A1:S44"/>
  <sheetViews>
    <sheetView zoomScale="85" zoomScaleNormal="85" workbookViewId="0">
      <selection activeCell="K7" sqref="K7"/>
    </sheetView>
  </sheetViews>
  <sheetFormatPr defaultColWidth="8.75" defaultRowHeight="14" outlineLevelRow="1" x14ac:dyDescent="0.25"/>
  <cols>
    <col min="1" max="1" width="21.08203125" style="31" customWidth="1"/>
    <col min="2" max="2" width="12.5" style="32" bestFit="1" customWidth="1"/>
    <col min="3" max="3" width="11.08203125" style="31" customWidth="1"/>
    <col min="4" max="4" width="10.75" style="31" bestFit="1" customWidth="1"/>
    <col min="5" max="5" width="11.75" style="12" customWidth="1"/>
    <col min="6" max="6" width="17.16406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9.75" style="12" bestFit="1" customWidth="1"/>
    <col min="19" max="16384" width="8.75" style="12"/>
  </cols>
  <sheetData>
    <row r="1" spans="1:19" s="4" customFormat="1" ht="34.5" customHeight="1" x14ac:dyDescent="0.25">
      <c r="A1" s="225" t="s">
        <v>159</v>
      </c>
      <c r="B1" s="226"/>
      <c r="C1" s="226"/>
      <c r="D1" s="92" t="s">
        <v>0</v>
      </c>
      <c r="E1" s="93">
        <v>103189500</v>
      </c>
      <c r="F1" s="94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SUM(B3:B23)</f>
        <v>36632860</v>
      </c>
      <c r="C2" s="95">
        <f t="shared" ref="C2:C23" si="1">B2/E$1</f>
        <v>0.35500569340872862</v>
      </c>
      <c r="D2" s="96" t="s">
        <v>44</v>
      </c>
      <c r="E2" s="6">
        <f>SUM(E3:E23)</f>
        <v>29107592</v>
      </c>
      <c r="F2" s="87">
        <f t="shared" si="0"/>
        <v>0.28207900997679025</v>
      </c>
      <c r="G2" s="96" t="s">
        <v>2</v>
      </c>
      <c r="H2" s="86">
        <f>SUM(H3:H23)</f>
        <v>11655170</v>
      </c>
      <c r="I2" s="87">
        <f>H2/E$1</f>
        <v>0.11294918572141545</v>
      </c>
      <c r="J2" s="97" t="s">
        <v>3</v>
      </c>
      <c r="K2" s="88">
        <f>SUM(K3:K23)</f>
        <v>11781003.056</v>
      </c>
      <c r="L2" s="87">
        <f t="shared" ref="L2" si="2">K2/E$1</f>
        <v>0.11416862235014222</v>
      </c>
      <c r="M2" s="75" t="s">
        <v>22</v>
      </c>
      <c r="N2" s="86">
        <f>SUM(N3:N23)</f>
        <v>10458463</v>
      </c>
      <c r="O2" s="87">
        <f>N2/E$1</f>
        <v>0.10135200771396315</v>
      </c>
      <c r="P2" s="89" t="s">
        <v>4</v>
      </c>
      <c r="Q2" s="90">
        <f>E1-B2-E2-H2-K2-N2</f>
        <v>3554411.9440000001</v>
      </c>
      <c r="R2" s="91">
        <f>Q2/E1</f>
        <v>3.4445480828960311E-2</v>
      </c>
      <c r="S2" s="11"/>
    </row>
    <row r="3" spans="1:19" ht="18" customHeight="1" outlineLevel="1" thickTop="1" thickBot="1" x14ac:dyDescent="0.35">
      <c r="A3" s="50" t="s">
        <v>5</v>
      </c>
      <c r="B3" s="194">
        <v>2166370</v>
      </c>
      <c r="C3" s="82">
        <f t="shared" si="1"/>
        <v>2.0994093391284965E-2</v>
      </c>
      <c r="D3" s="83" t="s">
        <v>36</v>
      </c>
      <c r="E3" s="84">
        <v>5000000</v>
      </c>
      <c r="F3" s="85">
        <f t="shared" si="0"/>
        <v>4.8454542371074577E-2</v>
      </c>
      <c r="G3" s="66" t="s">
        <v>37</v>
      </c>
      <c r="H3" s="140">
        <v>5500000</v>
      </c>
      <c r="I3" s="3">
        <f>H3/E$1</f>
        <v>5.3299996608182035E-2</v>
      </c>
      <c r="J3" s="100" t="s">
        <v>6</v>
      </c>
      <c r="K3" s="141">
        <f>E1*5%</f>
        <v>5159475</v>
      </c>
      <c r="L3" s="101">
        <f>K3/E$1</f>
        <v>0.05</v>
      </c>
      <c r="M3" s="80" t="s">
        <v>24</v>
      </c>
      <c r="N3" s="15">
        <v>1178500</v>
      </c>
      <c r="O3" s="87">
        <f t="shared" ref="O3:O23" si="3">N3/E$1</f>
        <v>1.1420735636862278E-2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8237150</v>
      </c>
      <c r="C4" s="3">
        <f t="shared" si="1"/>
        <v>7.9825466738379383E-2</v>
      </c>
      <c r="D4" s="57" t="s">
        <v>34</v>
      </c>
      <c r="E4" s="15">
        <v>3600000</v>
      </c>
      <c r="F4" s="16">
        <f>E4/E$1</f>
        <v>3.4887270507173697E-2</v>
      </c>
      <c r="G4" s="66" t="s">
        <v>168</v>
      </c>
      <c r="H4" s="64">
        <f>84200+259000</f>
        <v>343200</v>
      </c>
      <c r="I4" s="3">
        <f t="shared" ref="I4:I23" si="4">H4/E$1</f>
        <v>3.325919788350559E-3</v>
      </c>
      <c r="J4" s="158" t="s">
        <v>9</v>
      </c>
      <c r="K4" s="159"/>
      <c r="L4" s="101">
        <f t="shared" ref="L4:L13" si="5">K4/E$1</f>
        <v>0</v>
      </c>
      <c r="M4" s="61" t="s">
        <v>41</v>
      </c>
      <c r="N4" s="15">
        <v>165000</v>
      </c>
      <c r="O4" s="87">
        <f t="shared" si="3"/>
        <v>1.5989998982454611E-3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3003000</v>
      </c>
      <c r="C5" s="3">
        <f t="shared" si="1"/>
        <v>2.910179814806739E-2</v>
      </c>
      <c r="D5" s="58" t="s">
        <v>49</v>
      </c>
      <c r="E5" s="15">
        <v>3260000</v>
      </c>
      <c r="F5" s="16">
        <f>E5/E$1</f>
        <v>3.1592361625940625E-2</v>
      </c>
      <c r="G5" s="66" t="s">
        <v>59</v>
      </c>
      <c r="H5" s="64">
        <v>110000</v>
      </c>
      <c r="I5" s="3">
        <f t="shared" si="4"/>
        <v>1.0659999321636407E-3</v>
      </c>
      <c r="J5" s="162"/>
      <c r="K5" s="162"/>
      <c r="L5" s="101">
        <f t="shared" si="5"/>
        <v>0</v>
      </c>
      <c r="M5" s="61" t="s">
        <v>42</v>
      </c>
      <c r="N5" s="15">
        <v>521603</v>
      </c>
      <c r="O5" s="87">
        <f t="shared" si="3"/>
        <v>5.0548069328759226E-3</v>
      </c>
      <c r="P5" s="106" t="s">
        <v>11</v>
      </c>
      <c r="Q5" s="18">
        <f>SUM(Q6:Q20)</f>
        <v>128630</v>
      </c>
      <c r="R5" s="10">
        <f t="shared" ref="R5:R20" si="6">Q5/E$1</f>
        <v>1.2465415570382646E-3</v>
      </c>
      <c r="S5" s="19"/>
    </row>
    <row r="6" spans="1:19" ht="18" customHeight="1" outlineLevel="1" thickTop="1" thickBot="1" x14ac:dyDescent="0.4">
      <c r="A6" s="51" t="s">
        <v>12</v>
      </c>
      <c r="B6" s="195">
        <v>1405000</v>
      </c>
      <c r="C6" s="3">
        <f t="shared" si="1"/>
        <v>1.3615726406271955E-2</v>
      </c>
      <c r="D6" s="57" t="s">
        <v>52</v>
      </c>
      <c r="E6" s="15">
        <v>2102120</v>
      </c>
      <c r="F6" s="16">
        <f t="shared" si="0"/>
        <v>2.0371452521816658E-2</v>
      </c>
      <c r="G6" s="65" t="s">
        <v>15</v>
      </c>
      <c r="H6" s="64">
        <v>5500</v>
      </c>
      <c r="I6" s="3">
        <f t="shared" si="4"/>
        <v>5.3299996608182033E-5</v>
      </c>
      <c r="J6" s="160"/>
      <c r="K6" s="161"/>
      <c r="L6" s="101">
        <f t="shared" si="5"/>
        <v>0</v>
      </c>
      <c r="M6" s="61" t="s">
        <v>143</v>
      </c>
      <c r="N6" s="15">
        <v>330000</v>
      </c>
      <c r="O6" s="87">
        <f t="shared" si="3"/>
        <v>3.1979997964909222E-3</v>
      </c>
      <c r="P6" s="107" t="s">
        <v>57</v>
      </c>
      <c r="Q6" s="20">
        <v>128630</v>
      </c>
      <c r="R6" s="10">
        <f t="shared" si="6"/>
        <v>1.2465415570382646E-3</v>
      </c>
      <c r="S6" s="21"/>
    </row>
    <row r="7" spans="1:19" ht="18" customHeight="1" outlineLevel="1" thickTop="1" thickBot="1" x14ac:dyDescent="0.4">
      <c r="A7" s="52" t="s">
        <v>32</v>
      </c>
      <c r="B7" s="195">
        <v>7739000</v>
      </c>
      <c r="C7" s="3">
        <f t="shared" si="1"/>
        <v>7.4997940681949232E-2</v>
      </c>
      <c r="D7" s="58" t="s">
        <v>54</v>
      </c>
      <c r="E7" s="15">
        <v>3300000</v>
      </c>
      <c r="F7" s="16">
        <f t="shared" si="0"/>
        <v>3.1979997964909218E-2</v>
      </c>
      <c r="G7" s="65" t="s">
        <v>18</v>
      </c>
      <c r="H7" s="64">
        <f>46440+9490</f>
        <v>55930</v>
      </c>
      <c r="I7" s="3">
        <f t="shared" si="4"/>
        <v>5.4201251096284021E-4</v>
      </c>
      <c r="J7" s="78" t="s">
        <v>13</v>
      </c>
      <c r="K7" s="144">
        <f>E2*20%</f>
        <v>5821518.4000000004</v>
      </c>
      <c r="L7" s="101">
        <f t="shared" si="5"/>
        <v>5.6415801995358061E-2</v>
      </c>
      <c r="M7" s="62" t="s">
        <v>141</v>
      </c>
      <c r="N7" s="15">
        <v>881985</v>
      </c>
      <c r="O7" s="87">
        <f t="shared" si="3"/>
        <v>8.5472359106304428E-3</v>
      </c>
      <c r="P7" s="107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5475000</v>
      </c>
      <c r="C8" s="3">
        <f t="shared" si="1"/>
        <v>5.305772389632666E-2</v>
      </c>
      <c r="D8" s="58" t="s">
        <v>66</v>
      </c>
      <c r="E8" s="15">
        <v>3600000</v>
      </c>
      <c r="F8" s="16">
        <f t="shared" si="0"/>
        <v>3.4887270507173697E-2</v>
      </c>
      <c r="G8" s="65" t="s">
        <v>23</v>
      </c>
      <c r="H8" s="67">
        <v>1734000</v>
      </c>
      <c r="I8" s="3">
        <f t="shared" si="4"/>
        <v>1.6804035294288665E-2</v>
      </c>
      <c r="J8" s="76" t="s">
        <v>14</v>
      </c>
      <c r="K8" s="197">
        <v>165000</v>
      </c>
      <c r="L8" s="101">
        <f t="shared" si="5"/>
        <v>1.5989998982454611E-3</v>
      </c>
      <c r="M8" s="62" t="s">
        <v>147</v>
      </c>
      <c r="N8" s="15">
        <v>262452</v>
      </c>
      <c r="O8" s="87">
        <f t="shared" si="3"/>
        <v>2.5433983108746529E-3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935000</v>
      </c>
      <c r="C9" s="3">
        <f t="shared" si="1"/>
        <v>9.0609994233909457E-3</v>
      </c>
      <c r="D9" s="57" t="s">
        <v>67</v>
      </c>
      <c r="E9" s="15">
        <v>2673912</v>
      </c>
      <c r="F9" s="16">
        <f t="shared" si="0"/>
        <v>2.5912636460104953E-2</v>
      </c>
      <c r="G9" s="65" t="s">
        <v>25</v>
      </c>
      <c r="H9" s="218">
        <v>300000</v>
      </c>
      <c r="I9" s="3">
        <f t="shared" si="4"/>
        <v>2.9072725422644745E-3</v>
      </c>
      <c r="J9" s="76" t="s">
        <v>16</v>
      </c>
      <c r="K9" s="108"/>
      <c r="L9" s="101">
        <f t="shared" si="5"/>
        <v>0</v>
      </c>
      <c r="M9" s="62" t="s">
        <v>153</v>
      </c>
      <c r="N9" s="15">
        <v>78923</v>
      </c>
      <c r="O9" s="87">
        <f t="shared" si="3"/>
        <v>7.648355695104638E-4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f>((1206+417)*70+(281*50))*11.5</f>
        <v>1468090</v>
      </c>
      <c r="C10" s="3">
        <f t="shared" si="1"/>
        <v>1.4227125821910176E-2</v>
      </c>
      <c r="D10" s="58" t="s">
        <v>164</v>
      </c>
      <c r="E10" s="15">
        <v>768840</v>
      </c>
      <c r="F10" s="16">
        <f t="shared" si="0"/>
        <v>7.4507580713153955E-3</v>
      </c>
      <c r="G10" s="66" t="s">
        <v>69</v>
      </c>
      <c r="H10" s="67"/>
      <c r="I10" s="3">
        <f t="shared" si="4"/>
        <v>0</v>
      </c>
      <c r="J10" s="78" t="s">
        <v>19</v>
      </c>
      <c r="K10" s="144">
        <v>90873</v>
      </c>
      <c r="L10" s="101">
        <f t="shared" si="5"/>
        <v>8.8064192577733201E-4</v>
      </c>
      <c r="M10" s="62" t="s">
        <v>166</v>
      </c>
      <c r="N10" s="15">
        <v>6600000</v>
      </c>
      <c r="O10" s="87">
        <f t="shared" si="3"/>
        <v>6.3959995929818436E-2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6" t="s">
        <v>27</v>
      </c>
      <c r="B11" s="195">
        <v>327000</v>
      </c>
      <c r="C11" s="3">
        <f t="shared" si="1"/>
        <v>3.1689270710682773E-3</v>
      </c>
      <c r="D11" s="58" t="s">
        <v>165</v>
      </c>
      <c r="E11" s="15">
        <v>732720</v>
      </c>
      <c r="F11" s="16">
        <f>E11/E$1</f>
        <v>7.1007224572267524E-3</v>
      </c>
      <c r="G11" s="76" t="s">
        <v>10</v>
      </c>
      <c r="H11" s="64"/>
      <c r="I11" s="3">
        <f>H11/E$1</f>
        <v>0</v>
      </c>
      <c r="J11" s="78" t="s">
        <v>98</v>
      </c>
      <c r="K11" s="144">
        <v>20200</v>
      </c>
      <c r="L11" s="101">
        <f t="shared" si="5"/>
        <v>1.957563511791413E-4</v>
      </c>
      <c r="M11" s="62" t="s">
        <v>169</v>
      </c>
      <c r="N11" s="15">
        <v>440000</v>
      </c>
      <c r="O11" s="87">
        <f t="shared" si="3"/>
        <v>4.263999728654563E-3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4" t="s">
        <v>39</v>
      </c>
      <c r="B12" s="194">
        <v>60000</v>
      </c>
      <c r="C12" s="3">
        <f t="shared" si="1"/>
        <v>5.8145450845289493E-4</v>
      </c>
      <c r="D12" s="58"/>
      <c r="E12" s="15"/>
      <c r="F12" s="16">
        <f>E12/E$1</f>
        <v>0</v>
      </c>
      <c r="G12" s="66" t="s">
        <v>149</v>
      </c>
      <c r="H12" s="67">
        <v>642140</v>
      </c>
      <c r="I12" s="3">
        <f t="shared" si="4"/>
        <v>6.2229199676323661E-3</v>
      </c>
      <c r="J12" s="78" t="s">
        <v>71</v>
      </c>
      <c r="K12" s="110"/>
      <c r="L12" s="101">
        <f t="shared" si="5"/>
        <v>0</v>
      </c>
      <c r="M12" s="62"/>
      <c r="N12" s="3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6" t="s">
        <v>40</v>
      </c>
      <c r="B13" s="195">
        <v>1524600</v>
      </c>
      <c r="C13" s="3">
        <f t="shared" si="1"/>
        <v>1.477475905978806E-2</v>
      </c>
      <c r="D13" s="58"/>
      <c r="E13" s="15"/>
      <c r="F13" s="16">
        <f t="shared" ref="F13:F16" si="7">E13/E$1</f>
        <v>0</v>
      </c>
      <c r="G13" s="66" t="s">
        <v>56</v>
      </c>
      <c r="H13" s="67">
        <v>1293310</v>
      </c>
      <c r="I13" s="3">
        <f>H13/E$1</f>
        <v>1.2533348838786892E-2</v>
      </c>
      <c r="J13" s="79" t="s">
        <v>21</v>
      </c>
      <c r="K13" s="144">
        <f>E2*1.8%</f>
        <v>523936.65600000008</v>
      </c>
      <c r="L13" s="101">
        <f t="shared" si="5"/>
        <v>5.0774221795822257E-3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47" t="s">
        <v>51</v>
      </c>
      <c r="B14" s="195">
        <v>1100000</v>
      </c>
      <c r="C14" s="3">
        <f t="shared" si="1"/>
        <v>1.0659999321636407E-2</v>
      </c>
      <c r="D14" s="58"/>
      <c r="E14" s="15"/>
      <c r="F14" s="16">
        <f t="shared" si="7"/>
        <v>0</v>
      </c>
      <c r="G14" s="210" t="s">
        <v>162</v>
      </c>
      <c r="H14" s="67">
        <v>155000</v>
      </c>
      <c r="I14" s="3">
        <f t="shared" si="4"/>
        <v>1.5020908135033118E-3</v>
      </c>
      <c r="J14" s="80"/>
      <c r="K14" s="145"/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63" t="s">
        <v>65</v>
      </c>
      <c r="B15" s="195">
        <v>748000</v>
      </c>
      <c r="C15" s="3">
        <f t="shared" si="1"/>
        <v>7.2487995387127569E-3</v>
      </c>
      <c r="D15" s="59"/>
      <c r="E15" s="15"/>
      <c r="F15" s="16">
        <f t="shared" si="7"/>
        <v>0</v>
      </c>
      <c r="G15" s="80" t="s">
        <v>72</v>
      </c>
      <c r="H15" s="67">
        <v>500000</v>
      </c>
      <c r="I15" s="3">
        <f t="shared" si="4"/>
        <v>4.8454542371074577E-3</v>
      </c>
      <c r="J15" s="60"/>
      <c r="K15" s="145"/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48" t="s">
        <v>73</v>
      </c>
      <c r="B16" s="195">
        <v>840000</v>
      </c>
      <c r="C16" s="3">
        <f t="shared" si="1"/>
        <v>8.1403631183405295E-3</v>
      </c>
      <c r="D16" s="58" t="s">
        <v>28</v>
      </c>
      <c r="E16" s="15">
        <v>4070000</v>
      </c>
      <c r="F16" s="16">
        <f t="shared" si="7"/>
        <v>3.9441997490054705E-2</v>
      </c>
      <c r="G16" s="80" t="s">
        <v>74</v>
      </c>
      <c r="H16" s="163">
        <v>21000</v>
      </c>
      <c r="I16" s="3">
        <f t="shared" si="4"/>
        <v>2.0350907795851323E-4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62" t="s">
        <v>144</v>
      </c>
      <c r="B17" s="196">
        <v>0</v>
      </c>
      <c r="C17" s="3">
        <f t="shared" si="1"/>
        <v>0</v>
      </c>
      <c r="D17" s="17"/>
      <c r="E17" s="15"/>
      <c r="F17" s="16"/>
      <c r="G17" s="76" t="s">
        <v>150</v>
      </c>
      <c r="H17" s="64">
        <v>410000</v>
      </c>
      <c r="I17" s="3">
        <f t="shared" si="4"/>
        <v>3.9732724744281156E-3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s="28" customFormat="1" ht="18" customHeight="1" outlineLevel="1" thickTop="1" thickBot="1" x14ac:dyDescent="0.4">
      <c r="A18" s="62" t="s">
        <v>157</v>
      </c>
      <c r="B18" s="196">
        <v>572000</v>
      </c>
      <c r="C18" s="3">
        <f t="shared" si="1"/>
        <v>5.5431996472509312E-3</v>
      </c>
      <c r="D18" s="17"/>
      <c r="E18" s="15"/>
      <c r="F18" s="16"/>
      <c r="G18" s="147" t="s">
        <v>94</v>
      </c>
      <c r="H18" s="164">
        <v>322000</v>
      </c>
      <c r="I18" s="3">
        <f t="shared" si="4"/>
        <v>3.1204725286972028E-3</v>
      </c>
      <c r="J18" s="61"/>
      <c r="K18" s="145"/>
      <c r="L18" s="3"/>
      <c r="M18" s="3"/>
      <c r="N18" s="3"/>
      <c r="O18" s="87">
        <f t="shared" si="3"/>
        <v>0</v>
      </c>
      <c r="P18" s="109"/>
      <c r="Q18" s="20"/>
      <c r="R18" s="10">
        <f t="shared" si="6"/>
        <v>0</v>
      </c>
      <c r="S18" s="27"/>
    </row>
    <row r="19" spans="1:19" s="28" customFormat="1" ht="18" customHeight="1" outlineLevel="1" thickTop="1" thickBot="1" x14ac:dyDescent="0.4">
      <c r="A19" s="62" t="s">
        <v>47</v>
      </c>
      <c r="B19" s="195">
        <f>12460+31250+14620+13600+11120+5600+12460+52920+12690+12620+9660+18100</f>
        <v>207100</v>
      </c>
      <c r="C19" s="3">
        <f t="shared" si="1"/>
        <v>2.006987145009909E-3</v>
      </c>
      <c r="D19" s="14"/>
      <c r="E19" s="15"/>
      <c r="F19" s="16"/>
      <c r="G19" s="78" t="s">
        <v>97</v>
      </c>
      <c r="H19" s="64">
        <v>50000</v>
      </c>
      <c r="I19" s="82">
        <f>H19/E$1</f>
        <v>4.8454542371074576E-4</v>
      </c>
      <c r="J19" s="62"/>
      <c r="K19" s="145"/>
      <c r="L19" s="3"/>
      <c r="M19" s="3"/>
      <c r="N19" s="3"/>
      <c r="O19" s="87">
        <f t="shared" si="3"/>
        <v>0</v>
      </c>
      <c r="P19" s="107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62" t="s">
        <v>45</v>
      </c>
      <c r="B20" s="195">
        <f>75000+47270+42840+83100+40000+127600+47020+139100+13000+9180+45850</f>
        <v>669960</v>
      </c>
      <c r="C20" s="3">
        <f t="shared" si="1"/>
        <v>6.492521041385025E-3</v>
      </c>
      <c r="D20" s="17"/>
      <c r="E20" s="15"/>
      <c r="F20" s="16"/>
      <c r="G20" s="62" t="s">
        <v>46</v>
      </c>
      <c r="H20" s="64">
        <f>32000+32000+32000+20000+20000+18000</f>
        <v>154000</v>
      </c>
      <c r="I20" s="3">
        <f t="shared" si="4"/>
        <v>1.492399905029097E-3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 t="s">
        <v>95</v>
      </c>
      <c r="B21" s="195">
        <f>23590</f>
        <v>23590</v>
      </c>
      <c r="C21" s="3">
        <f t="shared" si="1"/>
        <v>2.2860853090672986E-4</v>
      </c>
      <c r="D21" s="17"/>
      <c r="E21" s="15"/>
      <c r="F21" s="16"/>
      <c r="G21" s="69" t="s">
        <v>152</v>
      </c>
      <c r="H21" s="67">
        <f>3290+9400+7900</f>
        <v>20590</v>
      </c>
      <c r="I21" s="3">
        <f t="shared" si="4"/>
        <v>1.9953580548408512E-4</v>
      </c>
      <c r="J21" s="62"/>
      <c r="K21" s="145"/>
      <c r="L21" s="3"/>
      <c r="M21" s="3"/>
      <c r="N21" s="3"/>
      <c r="O21" s="87">
        <f t="shared" si="3"/>
        <v>0</v>
      </c>
      <c r="P21" s="113"/>
      <c r="Q21" s="114"/>
      <c r="R21" s="114"/>
      <c r="S21" s="98">
        <f>SUM(S6:S20)</f>
        <v>0</v>
      </c>
    </row>
    <row r="22" spans="1:19" s="28" customFormat="1" ht="18" customHeight="1" outlineLevel="1" thickTop="1" thickBot="1" x14ac:dyDescent="0.35">
      <c r="A22" s="48" t="s">
        <v>175</v>
      </c>
      <c r="B22" s="195">
        <v>132000</v>
      </c>
      <c r="C22" s="3">
        <f t="shared" si="1"/>
        <v>1.2791999185963689E-3</v>
      </c>
      <c r="D22" s="17"/>
      <c r="E22" s="15"/>
      <c r="F22" s="16"/>
      <c r="G22" s="80" t="s">
        <v>154</v>
      </c>
      <c r="H22" s="163">
        <v>38500</v>
      </c>
      <c r="I22" s="3">
        <f t="shared" si="4"/>
        <v>3.7309997625727424E-4</v>
      </c>
      <c r="J22" s="62"/>
      <c r="K22" s="145"/>
      <c r="L22" s="3"/>
      <c r="M22" s="3"/>
      <c r="N22" s="3"/>
      <c r="O22" s="87">
        <f t="shared" si="3"/>
        <v>0</v>
      </c>
      <c r="P22" s="106" t="s">
        <v>29</v>
      </c>
      <c r="Q22" s="115">
        <f>Q2-Q5</f>
        <v>3425781.9440000001</v>
      </c>
      <c r="R22" s="10">
        <f>Q22/E1</f>
        <v>3.3198939271922051E-2</v>
      </c>
      <c r="S22" s="22"/>
    </row>
    <row r="23" spans="1:19" s="28" customFormat="1" ht="18" customHeight="1" outlineLevel="1" thickTop="1" thickBot="1" x14ac:dyDescent="0.35">
      <c r="A23" s="25"/>
      <c r="B23" s="195"/>
      <c r="C23" s="3">
        <f t="shared" si="1"/>
        <v>0</v>
      </c>
      <c r="D23" s="14"/>
      <c r="E23" s="15"/>
      <c r="F23" s="3"/>
      <c r="G23" s="72"/>
      <c r="H23" s="73"/>
      <c r="I23" s="3">
        <f t="shared" si="4"/>
        <v>0</v>
      </c>
      <c r="J23" s="62"/>
      <c r="K23" s="145"/>
      <c r="L23" s="3"/>
      <c r="M23" s="3"/>
      <c r="N23" s="3"/>
      <c r="O23" s="87">
        <f t="shared" si="3"/>
        <v>0</v>
      </c>
      <c r="P23" s="113"/>
      <c r="Q23" s="114"/>
      <c r="R23" s="114"/>
      <c r="S23" s="22"/>
    </row>
    <row r="24" spans="1:19" s="26" customFormat="1" ht="18" customHeight="1" thickTop="1" x14ac:dyDescent="0.25">
      <c r="G24" s="29"/>
      <c r="H24" s="30"/>
    </row>
    <row r="25" spans="1:19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5"/>
      <c r="N25" s="37"/>
      <c r="O25" s="36"/>
      <c r="P25" s="36"/>
      <c r="Q25" s="35"/>
    </row>
    <row r="26" spans="1:19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8"/>
      <c r="N26" s="35"/>
      <c r="O26" s="36"/>
      <c r="P26" s="38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9"/>
      <c r="Q34" s="36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6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35"/>
      <c r="O38" s="42"/>
      <c r="P38" s="42"/>
      <c r="Q38" s="42"/>
    </row>
    <row r="39" spans="1:17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3"/>
      <c r="N39" s="35"/>
      <c r="O39" s="42"/>
      <c r="P39" s="42"/>
      <c r="Q39" s="42"/>
    </row>
    <row r="40" spans="1:17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35"/>
      <c r="O40" s="42"/>
      <c r="P40" s="42"/>
      <c r="Q40" s="35"/>
    </row>
    <row r="41" spans="1:17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  <c r="P41" s="36"/>
      <c r="Q41" s="36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B0DA-D8D0-4D51-82A7-BA489D0ED8BB}">
  <dimension ref="A1:S44"/>
  <sheetViews>
    <sheetView zoomScale="85" zoomScaleNormal="85" workbookViewId="0">
      <selection activeCell="K7" sqref="K7"/>
    </sheetView>
  </sheetViews>
  <sheetFormatPr defaultColWidth="8.75" defaultRowHeight="14" outlineLevelRow="1" x14ac:dyDescent="0.25"/>
  <cols>
    <col min="1" max="1" width="21.08203125" style="31" customWidth="1"/>
    <col min="2" max="2" width="12.5" style="32" bestFit="1" customWidth="1"/>
    <col min="3" max="3" width="11.08203125" style="31" customWidth="1"/>
    <col min="4" max="4" width="10.75" style="31" bestFit="1" customWidth="1"/>
    <col min="5" max="5" width="11.75" style="12" customWidth="1"/>
    <col min="6" max="6" width="17.16406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9.75" style="12" bestFit="1" customWidth="1"/>
    <col min="19" max="16384" width="8.75" style="12"/>
  </cols>
  <sheetData>
    <row r="1" spans="1:19" s="4" customFormat="1" ht="34.5" customHeight="1" x14ac:dyDescent="0.25">
      <c r="A1" s="225" t="s">
        <v>170</v>
      </c>
      <c r="B1" s="226"/>
      <c r="C1" s="226"/>
      <c r="D1" s="92" t="s">
        <v>0</v>
      </c>
      <c r="E1" s="93">
        <v>110983500</v>
      </c>
      <c r="F1" s="94">
        <f t="shared" ref="F1:F10" si="0">E1/E$1</f>
        <v>1</v>
      </c>
      <c r="G1" s="227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SUM(B3:B23)</f>
        <v>40037022</v>
      </c>
      <c r="C2" s="95">
        <f t="shared" ref="C2:C23" si="1">B2/E$1</f>
        <v>0.36074751652272635</v>
      </c>
      <c r="D2" s="96" t="s">
        <v>44</v>
      </c>
      <c r="E2" s="6">
        <f>SUM(E3:E23)</f>
        <v>31490614</v>
      </c>
      <c r="F2" s="87">
        <f t="shared" si="0"/>
        <v>0.28374140300134704</v>
      </c>
      <c r="G2" s="96" t="s">
        <v>2</v>
      </c>
      <c r="H2" s="86">
        <f>SUM(H3:H23)</f>
        <v>12287850</v>
      </c>
      <c r="I2" s="87">
        <f>H2/E$1</f>
        <v>0.11071780940410061</v>
      </c>
      <c r="J2" s="97" t="s">
        <v>3</v>
      </c>
      <c r="K2" s="88">
        <f>SUM(K3:K23)</f>
        <v>14712283.800000001</v>
      </c>
      <c r="L2" s="87">
        <f t="shared" ref="L2" si="2">K2/E$1</f>
        <v>0.13256280257876171</v>
      </c>
      <c r="M2" s="75" t="s">
        <v>22</v>
      </c>
      <c r="N2" s="86">
        <f>SUM(N3:N23)</f>
        <v>3936345</v>
      </c>
      <c r="O2" s="87">
        <f>N2/E$1</f>
        <v>3.546783981402641E-2</v>
      </c>
      <c r="P2" s="89" t="s">
        <v>4</v>
      </c>
      <c r="Q2" s="90">
        <f>E1-B2-E2-H2-K2-N2</f>
        <v>8519385.1999999993</v>
      </c>
      <c r="R2" s="91">
        <f>Q2/E1</f>
        <v>7.6762628679037867E-2</v>
      </c>
      <c r="S2" s="11"/>
    </row>
    <row r="3" spans="1:19" ht="18" customHeight="1" outlineLevel="1" thickTop="1" thickBot="1" x14ac:dyDescent="0.35">
      <c r="A3" s="50" t="s">
        <v>5</v>
      </c>
      <c r="B3" s="194">
        <v>1488580</v>
      </c>
      <c r="C3" s="82">
        <f t="shared" si="1"/>
        <v>1.3412624399122393E-2</v>
      </c>
      <c r="D3" s="83" t="s">
        <v>36</v>
      </c>
      <c r="E3" s="84">
        <v>5000000</v>
      </c>
      <c r="F3" s="85">
        <f t="shared" si="0"/>
        <v>4.5051741925601553E-2</v>
      </c>
      <c r="G3" s="66" t="s">
        <v>37</v>
      </c>
      <c r="H3" s="140">
        <v>5500000</v>
      </c>
      <c r="I3" s="3">
        <f>H3/E$1</f>
        <v>4.9556916118161709E-2</v>
      </c>
      <c r="J3" s="211" t="s">
        <v>178</v>
      </c>
      <c r="K3" s="141">
        <f>E1*5%</f>
        <v>5549175</v>
      </c>
      <c r="L3" s="101">
        <f>K3/E$1</f>
        <v>0.05</v>
      </c>
      <c r="M3" s="80" t="s">
        <v>24</v>
      </c>
      <c r="N3" s="15">
        <v>1083500</v>
      </c>
      <c r="O3" s="87">
        <f t="shared" ref="O3:O23" si="3">N3/E$1</f>
        <v>9.7627124752778568E-3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9323720</v>
      </c>
      <c r="C4" s="3">
        <f t="shared" si="1"/>
        <v>8.4009965445313944E-2</v>
      </c>
      <c r="D4" s="57" t="s">
        <v>34</v>
      </c>
      <c r="E4" s="15">
        <v>3852650</v>
      </c>
      <c r="F4" s="16">
        <f>E4/E$1</f>
        <v>3.4713718705933767E-2</v>
      </c>
      <c r="G4" s="66" t="s">
        <v>168</v>
      </c>
      <c r="H4" s="64"/>
      <c r="I4" s="3">
        <f t="shared" ref="I4:I23" si="4">H4/E$1</f>
        <v>0</v>
      </c>
      <c r="J4" s="158" t="s">
        <v>9</v>
      </c>
      <c r="K4" s="159"/>
      <c r="L4" s="101">
        <f t="shared" ref="L4:L13" si="5">K4/E$1</f>
        <v>0</v>
      </c>
      <c r="M4" s="61" t="s">
        <v>41</v>
      </c>
      <c r="N4" s="15">
        <v>165000</v>
      </c>
      <c r="O4" s="87">
        <f t="shared" si="3"/>
        <v>1.4867074835448512E-3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4324000</v>
      </c>
      <c r="C5" s="3">
        <f t="shared" si="1"/>
        <v>3.8960746417260224E-2</v>
      </c>
      <c r="D5" s="58" t="s">
        <v>49</v>
      </c>
      <c r="E5" s="15">
        <v>3631520</v>
      </c>
      <c r="F5" s="16">
        <f>E5/E$1</f>
        <v>3.2721260367532111E-2</v>
      </c>
      <c r="G5" s="66" t="s">
        <v>59</v>
      </c>
      <c r="H5" s="64">
        <v>225000</v>
      </c>
      <c r="I5" s="3">
        <f t="shared" si="4"/>
        <v>2.0273283866520699E-3</v>
      </c>
      <c r="J5" s="221" t="s">
        <v>179</v>
      </c>
      <c r="K5" s="162">
        <v>591210</v>
      </c>
      <c r="L5" s="101">
        <f t="shared" si="5"/>
        <v>5.3270080687669785E-3</v>
      </c>
      <c r="M5" s="61" t="s">
        <v>42</v>
      </c>
      <c r="N5" s="15">
        <v>135183</v>
      </c>
      <c r="O5" s="87">
        <f t="shared" si="3"/>
        <v>1.2180459257457189E-3</v>
      </c>
      <c r="P5" s="106" t="s">
        <v>11</v>
      </c>
      <c r="Q5" s="18">
        <f>SUM(Q6:Q20)</f>
        <v>132917</v>
      </c>
      <c r="R5" s="10">
        <f t="shared" ref="R5:R20" si="6">Q5/E$1</f>
        <v>1.1976284763050363E-3</v>
      </c>
      <c r="S5" s="19"/>
    </row>
    <row r="6" spans="1:19" ht="18" customHeight="1" outlineLevel="1" thickTop="1" thickBot="1" x14ac:dyDescent="0.4">
      <c r="A6" s="51" t="s">
        <v>12</v>
      </c>
      <c r="B6" s="195">
        <v>798700</v>
      </c>
      <c r="C6" s="3">
        <f t="shared" si="1"/>
        <v>7.1965652551955923E-3</v>
      </c>
      <c r="D6" s="57" t="s">
        <v>52</v>
      </c>
      <c r="E6" s="15">
        <v>2179520</v>
      </c>
      <c r="F6" s="16">
        <f t="shared" si="0"/>
        <v>1.963823451233742E-2</v>
      </c>
      <c r="G6" s="65" t="s">
        <v>15</v>
      </c>
      <c r="H6" s="64">
        <v>110000</v>
      </c>
      <c r="I6" s="3">
        <f t="shared" si="4"/>
        <v>9.9113832236323411E-4</v>
      </c>
      <c r="J6" s="160"/>
      <c r="K6" s="161"/>
      <c r="L6" s="101">
        <f t="shared" si="5"/>
        <v>0</v>
      </c>
      <c r="M6" s="61" t="s">
        <v>43</v>
      </c>
      <c r="N6" s="15">
        <v>990000</v>
      </c>
      <c r="O6" s="87">
        <f t="shared" si="3"/>
        <v>8.920244901269107E-3</v>
      </c>
      <c r="P6" s="107" t="s">
        <v>57</v>
      </c>
      <c r="Q6" s="20">
        <v>132917</v>
      </c>
      <c r="R6" s="10">
        <f t="shared" si="6"/>
        <v>1.1976284763050363E-3</v>
      </c>
      <c r="S6" s="21"/>
    </row>
    <row r="7" spans="1:19" ht="18" customHeight="1" outlineLevel="1" thickTop="1" thickBot="1" x14ac:dyDescent="0.4">
      <c r="A7" s="52" t="s">
        <v>32</v>
      </c>
      <c r="B7" s="195">
        <v>9295990</v>
      </c>
      <c r="C7" s="3">
        <f t="shared" si="1"/>
        <v>8.3760108484594559E-2</v>
      </c>
      <c r="D7" s="58" t="s">
        <v>54</v>
      </c>
      <c r="E7" s="15">
        <v>3330770</v>
      </c>
      <c r="F7" s="16">
        <f t="shared" si="0"/>
        <v>3.0011398090707176E-2</v>
      </c>
      <c r="G7" s="65" t="s">
        <v>18</v>
      </c>
      <c r="H7" s="64">
        <f>45150+9490</f>
        <v>54640</v>
      </c>
      <c r="I7" s="3">
        <f t="shared" si="4"/>
        <v>4.9232543576297383E-4</v>
      </c>
      <c r="J7" s="78" t="s">
        <v>13</v>
      </c>
      <c r="K7" s="144">
        <f>E2*20%</f>
        <v>6298122.8000000007</v>
      </c>
      <c r="L7" s="101">
        <f t="shared" si="5"/>
        <v>5.6748280600269416E-2</v>
      </c>
      <c r="M7" s="62" t="s">
        <v>141</v>
      </c>
      <c r="N7" s="15">
        <v>937917</v>
      </c>
      <c r="O7" s="87">
        <f t="shared" si="3"/>
        <v>8.4509589263268865E-3</v>
      </c>
      <c r="P7" s="107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5430200</v>
      </c>
      <c r="C8" s="3">
        <f t="shared" si="1"/>
        <v>4.8927993800880309E-2</v>
      </c>
      <c r="D8" s="58" t="s">
        <v>66</v>
      </c>
      <c r="E8" s="15">
        <v>4004244</v>
      </c>
      <c r="F8" s="16">
        <f t="shared" si="0"/>
        <v>3.6079633459027691E-2</v>
      </c>
      <c r="G8" s="65" t="s">
        <v>23</v>
      </c>
      <c r="H8" s="67">
        <v>1949000</v>
      </c>
      <c r="I8" s="3">
        <f t="shared" si="4"/>
        <v>1.7561169002599485E-2</v>
      </c>
      <c r="J8" s="76" t="s">
        <v>14</v>
      </c>
      <c r="K8" s="197">
        <v>165000</v>
      </c>
      <c r="L8" s="101">
        <f t="shared" si="5"/>
        <v>1.4867074835448512E-3</v>
      </c>
      <c r="M8" s="62" t="s">
        <v>147</v>
      </c>
      <c r="N8" s="15">
        <f>35960+30000+32000</f>
        <v>97960</v>
      </c>
      <c r="O8" s="87">
        <f t="shared" si="3"/>
        <v>8.8265372780638564E-4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1352000</v>
      </c>
      <c r="C9" s="3">
        <f t="shared" si="1"/>
        <v>1.218199101668266E-2</v>
      </c>
      <c r="D9" s="57" t="s">
        <v>67</v>
      </c>
      <c r="E9" s="15">
        <v>2915400</v>
      </c>
      <c r="F9" s="16">
        <f t="shared" si="0"/>
        <v>2.6268769681979755E-2</v>
      </c>
      <c r="G9" s="65" t="s">
        <v>25</v>
      </c>
      <c r="H9" s="218">
        <v>400000</v>
      </c>
      <c r="I9" s="3">
        <f t="shared" si="4"/>
        <v>3.6041393540481243E-3</v>
      </c>
      <c r="J9" s="76" t="s">
        <v>16</v>
      </c>
      <c r="K9" s="108"/>
      <c r="L9" s="101">
        <f t="shared" si="5"/>
        <v>0</v>
      </c>
      <c r="M9" s="62" t="s">
        <v>153</v>
      </c>
      <c r="N9" s="15">
        <v>86785</v>
      </c>
      <c r="O9" s="87">
        <f t="shared" si="3"/>
        <v>7.8196308460266612E-4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v>1150000</v>
      </c>
      <c r="C10" s="3">
        <f t="shared" si="1"/>
        <v>1.0361900642888357E-2</v>
      </c>
      <c r="D10" s="58" t="s">
        <v>164</v>
      </c>
      <c r="E10" s="15">
        <v>3671510</v>
      </c>
      <c r="F10" s="16">
        <f t="shared" si="0"/>
        <v>3.3081584199453069E-2</v>
      </c>
      <c r="G10" s="66" t="s">
        <v>69</v>
      </c>
      <c r="H10" s="67"/>
      <c r="I10" s="3">
        <f t="shared" si="4"/>
        <v>0</v>
      </c>
      <c r="J10" s="78" t="s">
        <v>19</v>
      </c>
      <c r="K10" s="144">
        <v>90873</v>
      </c>
      <c r="L10" s="101">
        <f t="shared" si="5"/>
        <v>8.1879738880103804E-4</v>
      </c>
      <c r="M10" s="62" t="s">
        <v>161</v>
      </c>
      <c r="N10" s="15">
        <v>440000</v>
      </c>
      <c r="O10" s="87">
        <f t="shared" si="3"/>
        <v>3.9645532894529364E-3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6" t="s">
        <v>27</v>
      </c>
      <c r="B11" s="195">
        <v>327000</v>
      </c>
      <c r="C11" s="3">
        <f t="shared" si="1"/>
        <v>2.9463839219343417E-3</v>
      </c>
      <c r="D11" s="58"/>
      <c r="E11" s="15"/>
      <c r="F11" s="16">
        <f>E11/E$1</f>
        <v>0</v>
      </c>
      <c r="G11" s="76" t="s">
        <v>10</v>
      </c>
      <c r="H11" s="64">
        <v>329000</v>
      </c>
      <c r="I11" s="3">
        <f>H11/E$1</f>
        <v>2.9644046187045823E-3</v>
      </c>
      <c r="J11" s="78" t="s">
        <v>98</v>
      </c>
      <c r="K11" s="144">
        <v>20200</v>
      </c>
      <c r="L11" s="101">
        <f t="shared" si="5"/>
        <v>1.8200903737943027E-4</v>
      </c>
      <c r="M11" s="62"/>
      <c r="N11" s="15"/>
      <c r="O11" s="87">
        <f t="shared" si="3"/>
        <v>0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4" t="s">
        <v>39</v>
      </c>
      <c r="B12" s="194">
        <v>52500</v>
      </c>
      <c r="C12" s="3">
        <f t="shared" si="1"/>
        <v>4.730432902188163E-4</v>
      </c>
      <c r="D12" s="58"/>
      <c r="E12" s="15"/>
      <c r="F12" s="16">
        <f>E12/E$1</f>
        <v>0</v>
      </c>
      <c r="G12" s="66" t="s">
        <v>149</v>
      </c>
      <c r="H12" s="67">
        <v>718770</v>
      </c>
      <c r="I12" s="3">
        <f t="shared" si="4"/>
        <v>6.4763681087729261E-3</v>
      </c>
      <c r="J12" s="78" t="s">
        <v>71</v>
      </c>
      <c r="K12" s="110"/>
      <c r="L12" s="101">
        <f t="shared" si="5"/>
        <v>0</v>
      </c>
      <c r="M12" s="62"/>
      <c r="N12" s="3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6" t="s">
        <v>40</v>
      </c>
      <c r="B13" s="195">
        <v>1247400</v>
      </c>
      <c r="C13" s="3">
        <f t="shared" si="1"/>
        <v>1.1239508575599076E-2</v>
      </c>
      <c r="D13" s="58"/>
      <c r="E13" s="15"/>
      <c r="F13" s="16">
        <f t="shared" ref="F13:F16" si="7">E13/E$1</f>
        <v>0</v>
      </c>
      <c r="G13" s="66" t="s">
        <v>56</v>
      </c>
      <c r="H13" s="67">
        <v>1254160</v>
      </c>
      <c r="I13" s="3">
        <f>H13/E$1</f>
        <v>1.1300418530682489E-2</v>
      </c>
      <c r="J13" s="79" t="s">
        <v>21</v>
      </c>
      <c r="K13" s="144">
        <f>E1*1.8%</f>
        <v>1997703.0000000002</v>
      </c>
      <c r="L13" s="101">
        <f t="shared" si="5"/>
        <v>1.8000000000000002E-2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47" t="s">
        <v>51</v>
      </c>
      <c r="B14" s="195">
        <v>1060000</v>
      </c>
      <c r="C14" s="3">
        <f t="shared" si="1"/>
        <v>9.5509692882275298E-3</v>
      </c>
      <c r="D14" s="58"/>
      <c r="E14" s="15"/>
      <c r="F14" s="16">
        <f t="shared" si="7"/>
        <v>0</v>
      </c>
      <c r="G14" s="210" t="s">
        <v>162</v>
      </c>
      <c r="H14" s="163">
        <v>155000</v>
      </c>
      <c r="I14" s="3">
        <f t="shared" si="4"/>
        <v>1.3966039996936481E-3</v>
      </c>
      <c r="J14" s="80"/>
      <c r="K14" s="145"/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63" t="s">
        <v>65</v>
      </c>
      <c r="B15" s="195">
        <v>924000</v>
      </c>
      <c r="C15" s="3">
        <f t="shared" si="1"/>
        <v>8.3255619078511679E-3</v>
      </c>
      <c r="D15" s="59"/>
      <c r="E15" s="15"/>
      <c r="F15" s="16">
        <f t="shared" si="7"/>
        <v>0</v>
      </c>
      <c r="G15" s="80" t="s">
        <v>72</v>
      </c>
      <c r="H15" s="67">
        <v>500000</v>
      </c>
      <c r="I15" s="3">
        <f t="shared" si="4"/>
        <v>4.5051741925601551E-3</v>
      </c>
      <c r="J15" s="60"/>
      <c r="K15" s="145"/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48" t="s">
        <v>73</v>
      </c>
      <c r="B16" s="195">
        <f>140000*5</f>
        <v>700000</v>
      </c>
      <c r="C16" s="3">
        <f t="shared" si="1"/>
        <v>6.3072438695842177E-3</v>
      </c>
      <c r="D16" s="58" t="s">
        <v>28</v>
      </c>
      <c r="E16" s="15">
        <v>2905000</v>
      </c>
      <c r="F16" s="16">
        <f t="shared" si="7"/>
        <v>2.6175062058774502E-2</v>
      </c>
      <c r="G16" s="80" t="s">
        <v>74</v>
      </c>
      <c r="H16" s="163">
        <v>21000</v>
      </c>
      <c r="I16" s="3">
        <f t="shared" si="4"/>
        <v>1.8921731608752653E-4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62" t="s">
        <v>144</v>
      </c>
      <c r="B17" s="196"/>
      <c r="C17" s="3">
        <f t="shared" si="1"/>
        <v>0</v>
      </c>
      <c r="D17" s="17"/>
      <c r="E17" s="15"/>
      <c r="F17" s="16"/>
      <c r="G17" s="76" t="s">
        <v>150</v>
      </c>
      <c r="H17" s="64">
        <v>459000</v>
      </c>
      <c r="I17" s="3">
        <f t="shared" si="4"/>
        <v>4.1357499087702225E-3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s="28" customFormat="1" ht="18" customHeight="1" outlineLevel="1" thickTop="1" thickBot="1" x14ac:dyDescent="0.4">
      <c r="A18" s="62" t="s">
        <v>157</v>
      </c>
      <c r="B18" s="196">
        <v>286000</v>
      </c>
      <c r="C18" s="3">
        <f t="shared" si="1"/>
        <v>2.576959638144409E-3</v>
      </c>
      <c r="D18" s="17"/>
      <c r="E18" s="15"/>
      <c r="F18" s="16"/>
      <c r="G18" s="147" t="s">
        <v>94</v>
      </c>
      <c r="H18" s="164">
        <v>322000</v>
      </c>
      <c r="I18" s="3">
        <f t="shared" si="4"/>
        <v>2.9013321800087401E-3</v>
      </c>
      <c r="J18" s="61"/>
      <c r="K18" s="145"/>
      <c r="L18" s="3"/>
      <c r="M18" s="3"/>
      <c r="N18" s="3"/>
      <c r="O18" s="87">
        <f t="shared" si="3"/>
        <v>0</v>
      </c>
      <c r="P18" s="109"/>
      <c r="Q18" s="20"/>
      <c r="R18" s="10">
        <f t="shared" si="6"/>
        <v>0</v>
      </c>
      <c r="S18" s="27"/>
    </row>
    <row r="19" spans="1:19" s="28" customFormat="1" ht="18" customHeight="1" outlineLevel="1" thickTop="1" thickBot="1" x14ac:dyDescent="0.4">
      <c r="A19" s="62" t="s">
        <v>47</v>
      </c>
      <c r="B19" s="195">
        <f>52920+28050+12740+9900+31250+7770+12740+15800+24410+12680+10330+7770+12700+7770+7770+13220+52920+12700+20660+7310+8300+12740</f>
        <v>382450</v>
      </c>
      <c r="C19" s="3">
        <f t="shared" si="1"/>
        <v>3.4460077398892628E-3</v>
      </c>
      <c r="D19" s="14"/>
      <c r="E19" s="15"/>
      <c r="F19" s="16"/>
      <c r="G19" s="78" t="s">
        <v>97</v>
      </c>
      <c r="H19" s="64">
        <f>1000+59900+25500+24700+4000+11440+33500</f>
        <v>160040</v>
      </c>
      <c r="I19" s="82">
        <f>H19/E$1</f>
        <v>1.4420161555546546E-3</v>
      </c>
      <c r="J19" s="62"/>
      <c r="K19" s="145"/>
      <c r="L19" s="3"/>
      <c r="M19" s="3"/>
      <c r="N19" s="3"/>
      <c r="O19" s="87">
        <f t="shared" si="3"/>
        <v>0</v>
      </c>
      <c r="P19" s="107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62" t="s">
        <v>45</v>
      </c>
      <c r="B20" s="195">
        <f>16170+26870+49400+124800+9000+31600+75000+137904+314525+76900+133054+24700+33460+24700+23400+3900+54500+60140+29190+30270+128780+9200+8818+16500+10342+61270</f>
        <v>1514393</v>
      </c>
      <c r="C20" s="3">
        <f t="shared" si="1"/>
        <v>1.3645208521987503E-2</v>
      </c>
      <c r="D20" s="17"/>
      <c r="E20" s="15"/>
      <c r="F20" s="16"/>
      <c r="G20" s="62" t="s">
        <v>46</v>
      </c>
      <c r="H20" s="64">
        <f>1000</f>
        <v>1000</v>
      </c>
      <c r="I20" s="3">
        <f t="shared" si="4"/>
        <v>9.0103483851203113E-6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 t="s">
        <v>95</v>
      </c>
      <c r="B21" s="195">
        <f>24700+78090+133299</f>
        <v>236089</v>
      </c>
      <c r="C21" s="3">
        <f t="shared" si="1"/>
        <v>2.1272441398946691E-3</v>
      </c>
      <c r="D21" s="17"/>
      <c r="E21" s="15"/>
      <c r="F21" s="16"/>
      <c r="G21" s="69" t="s">
        <v>152</v>
      </c>
      <c r="H21" s="67">
        <f>5850+5850+5900+36840+3300</f>
        <v>57740</v>
      </c>
      <c r="I21" s="3">
        <f t="shared" si="4"/>
        <v>5.2025751575684673E-4</v>
      </c>
      <c r="J21" s="62"/>
      <c r="K21" s="145"/>
      <c r="L21" s="3"/>
      <c r="M21" s="3"/>
      <c r="N21" s="3"/>
      <c r="O21" s="87">
        <f t="shared" si="3"/>
        <v>0</v>
      </c>
      <c r="P21" s="113"/>
      <c r="Q21" s="114"/>
      <c r="R21" s="114"/>
      <c r="S21" s="98">
        <f>SUM(S6:S20)</f>
        <v>0</v>
      </c>
    </row>
    <row r="22" spans="1:19" s="28" customFormat="1" ht="18" customHeight="1" outlineLevel="1" thickTop="1" thickBot="1" x14ac:dyDescent="0.35">
      <c r="A22" s="48" t="s">
        <v>175</v>
      </c>
      <c r="B22" s="195">
        <v>144000</v>
      </c>
      <c r="C22" s="3">
        <f t="shared" si="1"/>
        <v>1.2974901674573248E-3</v>
      </c>
      <c r="D22" s="17"/>
      <c r="E22" s="15"/>
      <c r="F22" s="16"/>
      <c r="G22" s="80" t="s">
        <v>154</v>
      </c>
      <c r="H22" s="163">
        <v>38500</v>
      </c>
      <c r="I22" s="3">
        <f t="shared" si="4"/>
        <v>3.4689841282713196E-4</v>
      </c>
      <c r="J22" s="62"/>
      <c r="K22" s="145"/>
      <c r="L22" s="3"/>
      <c r="M22" s="3"/>
      <c r="N22" s="3"/>
      <c r="O22" s="87">
        <f t="shared" si="3"/>
        <v>0</v>
      </c>
      <c r="P22" s="106" t="s">
        <v>29</v>
      </c>
      <c r="Q22" s="115">
        <f>Q2-Q5</f>
        <v>8386468.1999999993</v>
      </c>
      <c r="R22" s="10">
        <f>Q22/E1</f>
        <v>7.5565000202732838E-2</v>
      </c>
      <c r="S22" s="22"/>
    </row>
    <row r="23" spans="1:19" s="28" customFormat="1" ht="18" customHeight="1" outlineLevel="1" thickTop="1" thickBot="1" x14ac:dyDescent="0.35">
      <c r="A23" s="48" t="s">
        <v>191</v>
      </c>
      <c r="B23" s="195"/>
      <c r="C23" s="3">
        <f t="shared" si="1"/>
        <v>0</v>
      </c>
      <c r="D23" s="14"/>
      <c r="E23" s="15"/>
      <c r="F23" s="3"/>
      <c r="G23" s="220" t="s">
        <v>171</v>
      </c>
      <c r="H23" s="73">
        <f>99000/3</f>
        <v>33000</v>
      </c>
      <c r="I23" s="3">
        <f t="shared" si="4"/>
        <v>2.9734149670897024E-4</v>
      </c>
      <c r="J23" s="62"/>
      <c r="K23" s="145"/>
      <c r="L23" s="3"/>
      <c r="M23" s="3"/>
      <c r="N23" s="3"/>
      <c r="O23" s="87">
        <f t="shared" si="3"/>
        <v>0</v>
      </c>
      <c r="P23" s="113"/>
      <c r="Q23" s="114"/>
      <c r="R23" s="114"/>
      <c r="S23" s="22"/>
    </row>
    <row r="24" spans="1:19" s="26" customFormat="1" ht="18" customHeight="1" thickTop="1" x14ac:dyDescent="0.25">
      <c r="G24" s="29"/>
      <c r="H24" s="30"/>
    </row>
    <row r="25" spans="1:19" x14ac:dyDescent="0.25">
      <c r="A25" s="34"/>
      <c r="B25" s="35"/>
      <c r="C25" s="34"/>
      <c r="D25" s="35"/>
      <c r="E25" s="35"/>
      <c r="F25" s="36"/>
      <c r="G25" s="35"/>
      <c r="H25" s="35"/>
      <c r="I25" s="36"/>
      <c r="J25" s="35"/>
      <c r="K25" s="35"/>
      <c r="L25" s="36"/>
      <c r="M25" s="35"/>
      <c r="N25" s="37"/>
      <c r="O25" s="36"/>
      <c r="P25" s="36"/>
      <c r="Q25" s="35"/>
    </row>
    <row r="26" spans="1:19" x14ac:dyDescent="0.25">
      <c r="A26" s="38"/>
      <c r="B26" s="35"/>
      <c r="C26" s="38"/>
      <c r="D26" s="35"/>
      <c r="E26" s="35"/>
      <c r="F26" s="36"/>
      <c r="G26" s="38"/>
      <c r="H26" s="35"/>
      <c r="I26" s="36"/>
      <c r="J26" s="38"/>
      <c r="K26" s="35"/>
      <c r="L26" s="36"/>
      <c r="M26" s="38"/>
      <c r="N26" s="35"/>
      <c r="O26" s="36"/>
      <c r="P26" s="38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4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9"/>
      <c r="Q34" s="36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6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9"/>
      <c r="D38" s="35"/>
      <c r="E38" s="41"/>
      <c r="F38" s="42"/>
      <c r="G38" s="42"/>
      <c r="H38" s="35"/>
      <c r="I38" s="42"/>
      <c r="J38" s="42"/>
      <c r="K38" s="35"/>
      <c r="L38" s="42"/>
      <c r="M38" s="42"/>
      <c r="N38" s="35"/>
      <c r="O38" s="42"/>
      <c r="P38" s="42"/>
      <c r="Q38" s="42"/>
    </row>
    <row r="39" spans="1:17" x14ac:dyDescent="0.25">
      <c r="A39" s="38"/>
      <c r="B39" s="35"/>
      <c r="C39" s="39"/>
      <c r="D39" s="35"/>
      <c r="E39" s="41"/>
      <c r="F39" s="42"/>
      <c r="G39" s="43"/>
      <c r="H39" s="35"/>
      <c r="I39" s="42"/>
      <c r="J39" s="43"/>
      <c r="K39" s="35"/>
      <c r="L39" s="42"/>
      <c r="M39" s="43"/>
      <c r="N39" s="35"/>
      <c r="O39" s="42"/>
      <c r="P39" s="42"/>
      <c r="Q39" s="42"/>
    </row>
    <row r="40" spans="1:17" x14ac:dyDescent="0.25">
      <c r="A40" s="34"/>
      <c r="B40" s="35"/>
      <c r="C40" s="34"/>
      <c r="D40" s="35"/>
      <c r="E40" s="35"/>
      <c r="F40" s="42"/>
      <c r="G40" s="42"/>
      <c r="H40" s="35"/>
      <c r="I40" s="42"/>
      <c r="J40" s="42"/>
      <c r="K40" s="35"/>
      <c r="L40" s="42"/>
      <c r="M40" s="42"/>
      <c r="N40" s="35"/>
      <c r="O40" s="42"/>
      <c r="P40" s="42"/>
      <c r="Q40" s="35"/>
    </row>
    <row r="41" spans="1:17" x14ac:dyDescent="0.25">
      <c r="A41" s="34"/>
      <c r="B41" s="35"/>
      <c r="C41" s="34"/>
      <c r="D41" s="34"/>
      <c r="E41" s="36"/>
      <c r="F41" s="36"/>
      <c r="G41" s="36"/>
      <c r="H41" s="40"/>
      <c r="I41" s="36"/>
      <c r="J41" s="36"/>
      <c r="K41" s="36"/>
      <c r="L41" s="36"/>
      <c r="M41" s="36"/>
      <c r="N41" s="36"/>
      <c r="O41" s="36"/>
      <c r="P41" s="36"/>
      <c r="Q41" s="36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EED3-C58B-4A7E-BB08-9B911595ADDB}">
  <dimension ref="A1:S45"/>
  <sheetViews>
    <sheetView zoomScale="85" zoomScaleNormal="85" workbookViewId="0">
      <selection activeCell="K7" sqref="K7"/>
    </sheetView>
  </sheetViews>
  <sheetFormatPr defaultColWidth="8.75" defaultRowHeight="14" outlineLevelRow="1" x14ac:dyDescent="0.25"/>
  <cols>
    <col min="1" max="1" width="21.08203125" style="31" customWidth="1"/>
    <col min="2" max="2" width="12.5" style="32" customWidth="1"/>
    <col min="3" max="3" width="11.08203125" style="31" customWidth="1"/>
    <col min="4" max="4" width="10.75" style="31" bestFit="1" customWidth="1"/>
    <col min="5" max="5" width="11.75" style="12" customWidth="1"/>
    <col min="6" max="6" width="17.16406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9.75" style="12" bestFit="1" customWidth="1"/>
    <col min="19" max="16384" width="8.75" style="12"/>
  </cols>
  <sheetData>
    <row r="1" spans="1:19" s="4" customFormat="1" ht="34.5" customHeight="1" x14ac:dyDescent="0.25">
      <c r="A1" s="225" t="s">
        <v>177</v>
      </c>
      <c r="B1" s="226"/>
      <c r="C1" s="226"/>
      <c r="D1" s="92" t="s">
        <v>0</v>
      </c>
      <c r="E1" s="93">
        <v>84733000</v>
      </c>
      <c r="F1" s="94">
        <f t="shared" ref="F1:F10" si="0">E1/E$1</f>
        <v>1</v>
      </c>
      <c r="G1" s="230" t="s">
        <v>188</v>
      </c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SUM(B3:B24)</f>
        <v>35423560</v>
      </c>
      <c r="C2" s="95">
        <f t="shared" ref="C2:C24" si="1">B2/E$1</f>
        <v>0.41806096798177805</v>
      </c>
      <c r="D2" s="96" t="s">
        <v>44</v>
      </c>
      <c r="E2" s="6">
        <f>SUM(E3:E24)</f>
        <v>24532268</v>
      </c>
      <c r="F2" s="87">
        <f t="shared" si="0"/>
        <v>0.28952436476933424</v>
      </c>
      <c r="G2" s="96" t="s">
        <v>2</v>
      </c>
      <c r="H2" s="86">
        <f>SUM(H3:H24)</f>
        <v>11253820</v>
      </c>
      <c r="I2" s="87">
        <f>H2/E$1</f>
        <v>0.13281507795073938</v>
      </c>
      <c r="J2" s="97" t="s">
        <v>3</v>
      </c>
      <c r="K2" s="88">
        <f>SUM(K3:K24)</f>
        <v>14180360.600000001</v>
      </c>
      <c r="L2" s="87">
        <f t="shared" ref="L2" si="2">K2/E$1</f>
        <v>0.16735345851085176</v>
      </c>
      <c r="M2" s="75" t="s">
        <v>22</v>
      </c>
      <c r="N2" s="86">
        <f>SUM(N3:N24)</f>
        <v>3128757</v>
      </c>
      <c r="O2" s="87">
        <f>N2/E$1</f>
        <v>3.6924893488959436E-2</v>
      </c>
      <c r="P2" s="89" t="s">
        <v>4</v>
      </c>
      <c r="Q2" s="90">
        <f>E1-B2-E2-H2-K2-N2</f>
        <v>-3785765.6000000015</v>
      </c>
      <c r="R2" s="91">
        <f>Q2/E1</f>
        <v>-4.4678762701662891E-2</v>
      </c>
      <c r="S2" s="11"/>
    </row>
    <row r="3" spans="1:19" ht="18" customHeight="1" outlineLevel="1" thickTop="1" thickBot="1" x14ac:dyDescent="0.35">
      <c r="A3" s="50" t="s">
        <v>5</v>
      </c>
      <c r="B3" s="194">
        <v>1411280</v>
      </c>
      <c r="C3" s="82">
        <f t="shared" si="1"/>
        <v>1.6655612335217684E-2</v>
      </c>
      <c r="D3" s="83" t="s">
        <v>36</v>
      </c>
      <c r="E3" s="84">
        <v>2000000</v>
      </c>
      <c r="F3" s="85">
        <f t="shared" si="0"/>
        <v>2.3603554695337117E-2</v>
      </c>
      <c r="G3" s="66" t="s">
        <v>37</v>
      </c>
      <c r="H3" s="140">
        <v>5500000</v>
      </c>
      <c r="I3" s="3">
        <f>H3/E$1</f>
        <v>6.4909775412177073E-2</v>
      </c>
      <c r="J3" s="100" t="s">
        <v>6</v>
      </c>
      <c r="K3" s="141">
        <f>E1*5%</f>
        <v>4236650</v>
      </c>
      <c r="L3" s="101">
        <f>K3/E$1</f>
        <v>0.05</v>
      </c>
      <c r="M3" s="80" t="s">
        <v>24</v>
      </c>
      <c r="N3" s="15">
        <v>1606500</v>
      </c>
      <c r="O3" s="87">
        <f t="shared" ref="O3:O24" si="3">N3/E$1</f>
        <v>1.8959555309029541E-2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7752090</v>
      </c>
      <c r="C4" s="3">
        <f t="shared" si="1"/>
        <v>9.1488440159087955E-2</v>
      </c>
      <c r="D4" s="57" t="s">
        <v>34</v>
      </c>
      <c r="E4" s="15">
        <v>3650530</v>
      </c>
      <c r="F4" s="16">
        <f>E4/E$1</f>
        <v>4.3082742260984505E-2</v>
      </c>
      <c r="G4" s="66" t="s">
        <v>168</v>
      </c>
      <c r="H4" s="64">
        <f>30000+47000</f>
        <v>77000</v>
      </c>
      <c r="I4" s="3">
        <f t="shared" ref="I4:I24" si="4">H4/E$1</f>
        <v>9.0873685577047905E-4</v>
      </c>
      <c r="J4" s="158" t="s">
        <v>180</v>
      </c>
      <c r="K4" s="159">
        <v>141830</v>
      </c>
      <c r="L4" s="101">
        <f t="shared" ref="L4:L13" si="5">K4/E$1</f>
        <v>1.6738460812198317E-3</v>
      </c>
      <c r="M4" s="61" t="s">
        <v>41</v>
      </c>
      <c r="N4" s="15">
        <v>165000</v>
      </c>
      <c r="O4" s="87">
        <f t="shared" si="3"/>
        <v>1.9472932623653123E-3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3562000</v>
      </c>
      <c r="C5" s="3">
        <f t="shared" si="1"/>
        <v>4.2037930912395403E-2</v>
      </c>
      <c r="D5" s="58" t="s">
        <v>49</v>
      </c>
      <c r="E5" s="15">
        <v>3306440</v>
      </c>
      <c r="F5" s="16">
        <f>E5/E$1</f>
        <v>3.9021868693425228E-2</v>
      </c>
      <c r="G5" s="66" t="s">
        <v>59</v>
      </c>
      <c r="H5" s="64">
        <v>110000</v>
      </c>
      <c r="I5" s="3">
        <f t="shared" si="4"/>
        <v>1.2981955082435415E-3</v>
      </c>
      <c r="J5" s="221" t="s">
        <v>9</v>
      </c>
      <c r="K5" s="159">
        <v>14160</v>
      </c>
      <c r="L5" s="101">
        <f t="shared" si="5"/>
        <v>1.671131672429868E-4</v>
      </c>
      <c r="M5" s="61" t="s">
        <v>42</v>
      </c>
      <c r="N5" s="15">
        <v>416575</v>
      </c>
      <c r="O5" s="87">
        <f t="shared" si="3"/>
        <v>4.9163253986050301E-3</v>
      </c>
      <c r="P5" s="106" t="s">
        <v>11</v>
      </c>
      <c r="Q5" s="18">
        <f>SUM(Q6:Q21)</f>
        <v>131095</v>
      </c>
      <c r="R5" s="10">
        <f t="shared" ref="R5:R21" si="6">Q5/E$1</f>
        <v>1.5471540013926098E-3</v>
      </c>
      <c r="S5" s="19"/>
    </row>
    <row r="6" spans="1:19" ht="18" customHeight="1" outlineLevel="1" thickTop="1" thickBot="1" x14ac:dyDescent="0.4">
      <c r="A6" s="51" t="s">
        <v>12</v>
      </c>
      <c r="B6" s="195">
        <v>858100</v>
      </c>
      <c r="C6" s="3">
        <f t="shared" si="1"/>
        <v>1.012710514203439E-2</v>
      </c>
      <c r="D6" s="57" t="s">
        <v>52</v>
      </c>
      <c r="E6" s="15">
        <v>1846700</v>
      </c>
      <c r="F6" s="16">
        <f t="shared" si="0"/>
        <v>2.1794342227939526E-2</v>
      </c>
      <c r="G6" s="65" t="s">
        <v>15</v>
      </c>
      <c r="H6" s="64">
        <v>110000</v>
      </c>
      <c r="I6" s="3">
        <f t="shared" si="4"/>
        <v>1.2981955082435415E-3</v>
      </c>
      <c r="J6" s="160"/>
      <c r="K6" s="161"/>
      <c r="L6" s="101">
        <f t="shared" si="5"/>
        <v>0</v>
      </c>
      <c r="M6" s="61" t="s">
        <v>43</v>
      </c>
      <c r="N6" s="15"/>
      <c r="O6" s="87">
        <f t="shared" si="3"/>
        <v>0</v>
      </c>
      <c r="P6" s="107" t="s">
        <v>57</v>
      </c>
      <c r="Q6" s="20">
        <v>131095</v>
      </c>
      <c r="R6" s="10">
        <f t="shared" si="6"/>
        <v>1.5471540013926098E-3</v>
      </c>
      <c r="S6" s="21"/>
    </row>
    <row r="7" spans="1:19" ht="18" customHeight="1" outlineLevel="1" thickTop="1" thickBot="1" x14ac:dyDescent="0.4">
      <c r="A7" s="52" t="s">
        <v>32</v>
      </c>
      <c r="B7" s="195">
        <v>8021000</v>
      </c>
      <c r="C7" s="3">
        <f t="shared" si="1"/>
        <v>9.4662056105649511E-2</v>
      </c>
      <c r="D7" s="58" t="s">
        <v>66</v>
      </c>
      <c r="E7" s="15">
        <v>3650531</v>
      </c>
      <c r="F7" s="16">
        <f t="shared" si="0"/>
        <v>4.3082754062761852E-2</v>
      </c>
      <c r="G7" s="65" t="s">
        <v>18</v>
      </c>
      <c r="H7" s="64">
        <f>45690+9490</f>
        <v>55180</v>
      </c>
      <c r="I7" s="3">
        <f t="shared" si="4"/>
        <v>6.5122207404435107E-4</v>
      </c>
      <c r="J7" s="78" t="s">
        <v>13</v>
      </c>
      <c r="K7" s="144">
        <f>E2*20%</f>
        <v>4906453.6000000006</v>
      </c>
      <c r="L7" s="101">
        <f t="shared" si="5"/>
        <v>5.7904872953866857E-2</v>
      </c>
      <c r="M7" s="62" t="s">
        <v>141</v>
      </c>
      <c r="N7" s="15">
        <v>916856</v>
      </c>
      <c r="O7" s="87">
        <f t="shared" si="3"/>
        <v>1.0820530371874004E-2</v>
      </c>
      <c r="P7" s="222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6145300</v>
      </c>
      <c r="C8" s="3">
        <f t="shared" si="1"/>
        <v>7.2525462334627588E-2</v>
      </c>
      <c r="D8" s="57" t="s">
        <v>67</v>
      </c>
      <c r="E8" s="15">
        <v>2978523</v>
      </c>
      <c r="F8" s="16">
        <f t="shared" si="0"/>
        <v>3.5151865270909799E-2</v>
      </c>
      <c r="G8" s="65" t="s">
        <v>23</v>
      </c>
      <c r="H8" s="67">
        <v>1479000</v>
      </c>
      <c r="I8" s="3">
        <f t="shared" si="4"/>
        <v>1.7454828697201798E-2</v>
      </c>
      <c r="J8" s="76" t="s">
        <v>14</v>
      </c>
      <c r="K8" s="197">
        <v>165000</v>
      </c>
      <c r="L8" s="101">
        <f t="shared" si="5"/>
        <v>1.9472932623653123E-3</v>
      </c>
      <c r="M8" s="62" t="s">
        <v>147</v>
      </c>
      <c r="N8" s="15"/>
      <c r="O8" s="87">
        <f t="shared" si="3"/>
        <v>0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973000</v>
      </c>
      <c r="C9" s="3">
        <f t="shared" si="1"/>
        <v>1.1483129359281507E-2</v>
      </c>
      <c r="D9" s="58" t="s">
        <v>164</v>
      </c>
      <c r="E9" s="15">
        <v>3334544</v>
      </c>
      <c r="F9" s="16">
        <f t="shared" si="0"/>
        <v>3.9353545844004106E-2</v>
      </c>
      <c r="G9" s="65" t="s">
        <v>25</v>
      </c>
      <c r="H9" s="218">
        <v>400000</v>
      </c>
      <c r="I9" s="3">
        <f t="shared" si="4"/>
        <v>4.7207109390674231E-3</v>
      </c>
      <c r="J9" s="76" t="s">
        <v>16</v>
      </c>
      <c r="K9" s="108"/>
      <c r="L9" s="101">
        <f t="shared" si="5"/>
        <v>0</v>
      </c>
      <c r="M9" s="62" t="s">
        <v>153</v>
      </c>
      <c r="N9" s="15">
        <v>23826</v>
      </c>
      <c r="O9" s="87">
        <f t="shared" si="3"/>
        <v>2.8118914708555109E-4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f>((884+389)*70+(247*50))*11.5</f>
        <v>1166790</v>
      </c>
      <c r="C10" s="3">
        <f t="shared" si="1"/>
        <v>1.3770195791486198E-2</v>
      </c>
      <c r="D10" s="58"/>
      <c r="E10" s="15"/>
      <c r="F10" s="16">
        <f t="shared" si="0"/>
        <v>0</v>
      </c>
      <c r="G10" s="66" t="s">
        <v>69</v>
      </c>
      <c r="H10" s="67"/>
      <c r="I10" s="3">
        <f t="shared" si="4"/>
        <v>0</v>
      </c>
      <c r="J10" s="78" t="s">
        <v>19</v>
      </c>
      <c r="K10" s="144">
        <v>90873</v>
      </c>
      <c r="L10" s="101">
        <f t="shared" si="5"/>
        <v>1.072462912914685E-3</v>
      </c>
      <c r="M10" s="62" t="s">
        <v>161</v>
      </c>
      <c r="N10" s="15"/>
      <c r="O10" s="87">
        <f t="shared" si="3"/>
        <v>0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6" t="s">
        <v>27</v>
      </c>
      <c r="B11" s="195">
        <v>193400</v>
      </c>
      <c r="C11" s="3">
        <f t="shared" si="1"/>
        <v>2.2824637390390992E-3</v>
      </c>
      <c r="D11" s="58"/>
      <c r="E11" s="15"/>
      <c r="F11" s="16">
        <f>E11/E$1</f>
        <v>0</v>
      </c>
      <c r="G11" s="76" t="s">
        <v>10</v>
      </c>
      <c r="H11" s="64"/>
      <c r="I11" s="3">
        <f>H11/E$1</f>
        <v>0</v>
      </c>
      <c r="J11" s="78" t="s">
        <v>98</v>
      </c>
      <c r="K11" s="144">
        <v>20200</v>
      </c>
      <c r="L11" s="101">
        <f t="shared" si="5"/>
        <v>2.383959024229049E-4</v>
      </c>
      <c r="M11" s="62"/>
      <c r="N11" s="3"/>
      <c r="O11" s="87">
        <f t="shared" si="3"/>
        <v>0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4" t="s">
        <v>39</v>
      </c>
      <c r="B12" s="194">
        <v>60000</v>
      </c>
      <c r="C12" s="3">
        <f t="shared" si="1"/>
        <v>7.0810664086011358E-4</v>
      </c>
      <c r="D12" s="58"/>
      <c r="E12" s="15"/>
      <c r="F12" s="16">
        <f>E12/E$1</f>
        <v>0</v>
      </c>
      <c r="G12" s="66" t="s">
        <v>149</v>
      </c>
      <c r="H12" s="67">
        <v>697310</v>
      </c>
      <c r="I12" s="3">
        <f t="shared" si="4"/>
        <v>8.229497362302763E-3</v>
      </c>
      <c r="J12" s="78" t="s">
        <v>71</v>
      </c>
      <c r="K12" s="110">
        <v>165000</v>
      </c>
      <c r="L12" s="101">
        <f t="shared" si="5"/>
        <v>1.9472932623653123E-3</v>
      </c>
      <c r="M12" s="62"/>
      <c r="N12" s="3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6" t="s">
        <v>40</v>
      </c>
      <c r="B13" s="195">
        <v>1108800</v>
      </c>
      <c r="C13" s="3">
        <f t="shared" si="1"/>
        <v>1.3085810723094898E-2</v>
      </c>
      <c r="D13" s="58"/>
      <c r="E13" s="15"/>
      <c r="F13" s="16">
        <f t="shared" ref="F13:F16" si="7">E13/E$1</f>
        <v>0</v>
      </c>
      <c r="G13" s="66" t="s">
        <v>56</v>
      </c>
      <c r="H13" s="67">
        <v>1934830</v>
      </c>
      <c r="I13" s="3">
        <f>H13/E$1</f>
        <v>2.2834432865589557E-2</v>
      </c>
      <c r="J13" s="79" t="s">
        <v>21</v>
      </c>
      <c r="K13" s="144">
        <f>E1*1.8%</f>
        <v>1525194.0000000002</v>
      </c>
      <c r="L13" s="101">
        <f t="shared" si="5"/>
        <v>1.8000000000000002E-2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47" t="s">
        <v>51</v>
      </c>
      <c r="B14" s="195">
        <v>240000</v>
      </c>
      <c r="C14" s="3">
        <f t="shared" si="1"/>
        <v>2.8324265634404543E-3</v>
      </c>
      <c r="D14" s="58"/>
      <c r="E14" s="15"/>
      <c r="F14" s="16">
        <f t="shared" si="7"/>
        <v>0</v>
      </c>
      <c r="G14" s="210" t="s">
        <v>162</v>
      </c>
      <c r="H14" s="163">
        <v>155000</v>
      </c>
      <c r="I14" s="3">
        <f t="shared" si="4"/>
        <v>1.8292754888886266E-3</v>
      </c>
      <c r="J14" s="80" t="s">
        <v>183</v>
      </c>
      <c r="K14" s="145">
        <v>715000</v>
      </c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63" t="s">
        <v>65</v>
      </c>
      <c r="B15" s="195">
        <v>704000</v>
      </c>
      <c r="C15" s="3">
        <f t="shared" si="1"/>
        <v>8.3084512527586661E-3</v>
      </c>
      <c r="D15" s="59"/>
      <c r="E15" s="15"/>
      <c r="F15" s="16">
        <f t="shared" si="7"/>
        <v>0</v>
      </c>
      <c r="G15" s="80" t="s">
        <v>72</v>
      </c>
      <c r="H15" s="67"/>
      <c r="I15" s="3">
        <f t="shared" si="4"/>
        <v>0</v>
      </c>
      <c r="J15" s="61" t="s">
        <v>184</v>
      </c>
      <c r="K15" s="145">
        <v>200000</v>
      </c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48" t="s">
        <v>73</v>
      </c>
      <c r="B16" s="195">
        <f>140000+140000+420000</f>
        <v>700000</v>
      </c>
      <c r="C16" s="3">
        <f t="shared" si="1"/>
        <v>8.261244143367992E-3</v>
      </c>
      <c r="D16" s="58" t="s">
        <v>28</v>
      </c>
      <c r="E16" s="15">
        <v>3765000</v>
      </c>
      <c r="F16" s="16">
        <f t="shared" si="7"/>
        <v>4.4433691713972122E-2</v>
      </c>
      <c r="G16" s="80" t="s">
        <v>74</v>
      </c>
      <c r="H16" s="163">
        <v>21000</v>
      </c>
      <c r="I16" s="3">
        <f t="shared" si="4"/>
        <v>2.4783732430103974E-4</v>
      </c>
      <c r="J16" s="61" t="s">
        <v>186</v>
      </c>
      <c r="K16" s="145">
        <v>2000000</v>
      </c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62" t="s">
        <v>187</v>
      </c>
      <c r="B17" s="196">
        <f>136000+79600+59200+136000+132000+32800+135000+59200+21340</f>
        <v>791140</v>
      </c>
      <c r="C17" s="3">
        <f t="shared" si="1"/>
        <v>9.3368581308345029E-3</v>
      </c>
      <c r="D17" s="17"/>
      <c r="E17" s="15"/>
      <c r="F17" s="16"/>
      <c r="G17" s="76" t="s">
        <v>150</v>
      </c>
      <c r="H17" s="64">
        <v>162000</v>
      </c>
      <c r="I17" s="3">
        <f t="shared" si="4"/>
        <v>1.9118879303223065E-3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ht="18" customHeight="1" thickTop="1" thickBot="1" x14ac:dyDescent="0.4">
      <c r="A18" s="62" t="s">
        <v>157</v>
      </c>
      <c r="B18" s="196">
        <v>286000</v>
      </c>
      <c r="C18" s="3">
        <f t="shared" ref="C18:C23" si="8">B18/E$1</f>
        <v>3.3753083214332078E-3</v>
      </c>
      <c r="D18" s="17"/>
      <c r="E18" s="15"/>
      <c r="F18" s="16"/>
      <c r="G18" s="147" t="s">
        <v>94</v>
      </c>
      <c r="H18" s="164">
        <v>322000</v>
      </c>
      <c r="I18" s="3">
        <f t="shared" ref="I18" si="9">H18/E$1</f>
        <v>3.800172305949276E-3</v>
      </c>
      <c r="J18" s="61"/>
      <c r="K18" s="145"/>
      <c r="L18" s="3"/>
      <c r="M18" s="3"/>
      <c r="N18" s="3"/>
      <c r="O18" s="87">
        <f t="shared" ref="O18:O23" si="10">N18/E$1</f>
        <v>0</v>
      </c>
      <c r="P18" s="112"/>
      <c r="Q18" s="20"/>
      <c r="R18" s="10">
        <f t="shared" ref="R18" si="11">Q18/E$1</f>
        <v>0</v>
      </c>
      <c r="S18" s="21"/>
    </row>
    <row r="19" spans="1:19" s="28" customFormat="1" ht="18" customHeight="1" outlineLevel="1" thickTop="1" thickBot="1" x14ac:dyDescent="0.4">
      <c r="A19" s="62" t="s">
        <v>47</v>
      </c>
      <c r="B19" s="195">
        <f>20660+7310+8300+12740+31080+12660+52920+12660+28250+14350+8270+12420+12420+52920</f>
        <v>286960</v>
      </c>
      <c r="C19" s="3">
        <f t="shared" si="8"/>
        <v>3.3866380276869694E-3</v>
      </c>
      <c r="D19" s="14"/>
      <c r="E19" s="15"/>
      <c r="F19" s="16"/>
      <c r="G19" s="78" t="s">
        <v>97</v>
      </c>
      <c r="H19" s="64">
        <f>7000+14000+49400+49400</f>
        <v>119800</v>
      </c>
      <c r="I19" s="82">
        <f>H19/E$1</f>
        <v>1.4138529262506933E-3</v>
      </c>
      <c r="J19" s="62"/>
      <c r="K19" s="145"/>
      <c r="L19" s="3"/>
      <c r="M19" s="3"/>
      <c r="N19" s="3"/>
      <c r="O19" s="87">
        <f t="shared" si="10"/>
        <v>0</v>
      </c>
      <c r="P19" s="109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62" t="s">
        <v>45</v>
      </c>
      <c r="B20" s="195">
        <f>75200+6700</f>
        <v>81900</v>
      </c>
      <c r="C20" s="3">
        <f t="shared" si="8"/>
        <v>9.6656556477405496E-4</v>
      </c>
      <c r="D20" s="17"/>
      <c r="E20" s="15"/>
      <c r="F20" s="16"/>
      <c r="G20" s="62" t="s">
        <v>46</v>
      </c>
      <c r="H20" s="64">
        <f>40000+18000+5000</f>
        <v>63000</v>
      </c>
      <c r="I20" s="3">
        <f t="shared" ref="I20:I23" si="12">H20/E$1</f>
        <v>7.4351197290311926E-4</v>
      </c>
      <c r="J20" s="62"/>
      <c r="K20" s="145"/>
      <c r="L20" s="3"/>
      <c r="M20" s="3"/>
      <c r="N20" s="3"/>
      <c r="O20" s="87">
        <f t="shared" si="10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 t="s">
        <v>95</v>
      </c>
      <c r="B21" s="195">
        <f>13400+24900</f>
        <v>38300</v>
      </c>
      <c r="C21" s="3">
        <f t="shared" si="8"/>
        <v>4.5200807241570581E-4</v>
      </c>
      <c r="D21" s="17"/>
      <c r="E21" s="15"/>
      <c r="F21" s="16"/>
      <c r="G21" s="69" t="s">
        <v>152</v>
      </c>
      <c r="H21" s="67">
        <f>3300+5900</f>
        <v>9200</v>
      </c>
      <c r="I21" s="3">
        <f t="shared" si="12"/>
        <v>1.0857635159855074E-4</v>
      </c>
      <c r="J21" s="62"/>
      <c r="K21" s="145"/>
      <c r="L21" s="3"/>
      <c r="M21" s="3"/>
      <c r="N21" s="3"/>
      <c r="O21" s="87">
        <f t="shared" si="10"/>
        <v>0</v>
      </c>
      <c r="P21" s="107"/>
      <c r="Q21" s="20"/>
      <c r="R21" s="10">
        <f t="shared" si="6"/>
        <v>0</v>
      </c>
      <c r="S21" s="27"/>
    </row>
    <row r="22" spans="1:19" s="28" customFormat="1" ht="18" customHeight="1" outlineLevel="1" thickTop="1" thickBot="1" x14ac:dyDescent="0.4">
      <c r="A22" s="48" t="s">
        <v>175</v>
      </c>
      <c r="B22" s="195">
        <v>144000</v>
      </c>
      <c r="C22" s="3">
        <f t="shared" si="8"/>
        <v>1.6994559380642724E-3</v>
      </c>
      <c r="D22" s="17"/>
      <c r="E22" s="15"/>
      <c r="F22" s="16"/>
      <c r="G22" s="80" t="s">
        <v>154</v>
      </c>
      <c r="H22" s="163">
        <v>38500</v>
      </c>
      <c r="I22" s="3">
        <f t="shared" si="12"/>
        <v>4.5436842788523953E-4</v>
      </c>
      <c r="J22" s="62"/>
      <c r="K22" s="145"/>
      <c r="L22" s="3"/>
      <c r="M22" s="3"/>
      <c r="N22" s="3"/>
      <c r="O22" s="87">
        <f t="shared" si="10"/>
        <v>0</v>
      </c>
      <c r="P22" s="113"/>
      <c r="Q22" s="20"/>
      <c r="R22" s="10">
        <f t="shared" ref="R22" si="13">Q22/E$1</f>
        <v>0</v>
      </c>
      <c r="S22" s="98">
        <f>SUM(S6:S21)</f>
        <v>0</v>
      </c>
    </row>
    <row r="23" spans="1:19" s="28" customFormat="1" ht="18" customHeight="1" outlineLevel="1" thickTop="1" thickBot="1" x14ac:dyDescent="0.35">
      <c r="A23" s="48" t="s">
        <v>181</v>
      </c>
      <c r="B23" s="195">
        <f>(2+2+2+2+2+2+2+2+2)*35000</f>
        <v>630000</v>
      </c>
      <c r="C23" s="3">
        <f t="shared" si="8"/>
        <v>7.4351197290311918E-3</v>
      </c>
      <c r="D23" s="14"/>
      <c r="E23" s="15"/>
      <c r="F23" s="3"/>
      <c r="G23" s="220" t="s">
        <v>171</v>
      </c>
      <c r="H23" s="73"/>
      <c r="I23" s="3">
        <f t="shared" si="12"/>
        <v>0</v>
      </c>
      <c r="J23" s="62"/>
      <c r="K23" s="145"/>
      <c r="L23" s="3"/>
      <c r="M23" s="3"/>
      <c r="N23" s="3"/>
      <c r="O23" s="87">
        <f t="shared" si="10"/>
        <v>0</v>
      </c>
      <c r="P23" s="106" t="s">
        <v>29</v>
      </c>
      <c r="Q23" s="115">
        <f>Q2-Q5</f>
        <v>-3916860.6000000015</v>
      </c>
      <c r="R23" s="10">
        <f>Q23/E1</f>
        <v>-4.6225916703055495E-2</v>
      </c>
      <c r="S23" s="22"/>
    </row>
    <row r="24" spans="1:19" s="28" customFormat="1" ht="18" customHeight="1" outlineLevel="1" thickTop="1" thickBot="1" x14ac:dyDescent="0.35">
      <c r="A24" s="48" t="s">
        <v>182</v>
      </c>
      <c r="B24" s="195">
        <f>(5+5+5+5+5+5+5)*7700</f>
        <v>269500</v>
      </c>
      <c r="C24" s="3">
        <f t="shared" si="1"/>
        <v>3.1805789951966767E-3</v>
      </c>
      <c r="D24" s="14"/>
      <c r="E24" s="15"/>
      <c r="F24" s="3"/>
      <c r="G24" s="220"/>
      <c r="H24" s="73"/>
      <c r="I24" s="3">
        <f t="shared" si="4"/>
        <v>0</v>
      </c>
      <c r="J24" s="62"/>
      <c r="K24" s="145"/>
      <c r="L24" s="3"/>
      <c r="M24" s="3"/>
      <c r="N24" s="3"/>
      <c r="O24" s="87">
        <f t="shared" si="3"/>
        <v>0</v>
      </c>
      <c r="P24" s="113"/>
      <c r="Q24" s="114"/>
      <c r="R24" s="114"/>
      <c r="S24" s="22"/>
    </row>
    <row r="25" spans="1:19" s="26" customFormat="1" ht="18" customHeight="1" thickTop="1" x14ac:dyDescent="0.25">
      <c r="G25" s="29"/>
      <c r="H25" s="30"/>
    </row>
    <row r="26" spans="1:19" x14ac:dyDescent="0.25">
      <c r="A26" s="34"/>
      <c r="B26" s="35"/>
      <c r="C26" s="34"/>
      <c r="D26" s="35"/>
      <c r="E26" s="35"/>
      <c r="F26" s="36"/>
      <c r="G26" s="35"/>
      <c r="H26" s="35"/>
      <c r="I26" s="36"/>
      <c r="J26" s="35"/>
      <c r="K26" s="35"/>
      <c r="L26" s="36"/>
      <c r="M26" s="35"/>
      <c r="N26" s="37"/>
      <c r="O26" s="36"/>
      <c r="P26" s="36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5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8"/>
      <c r="Q34" s="35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9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8"/>
      <c r="D38" s="35"/>
      <c r="E38" s="34"/>
      <c r="F38" s="36"/>
      <c r="G38" s="38"/>
      <c r="H38" s="35"/>
      <c r="I38" s="36"/>
      <c r="J38" s="38"/>
      <c r="K38" s="35"/>
      <c r="L38" s="36"/>
      <c r="M38" s="38"/>
      <c r="N38" s="35"/>
      <c r="O38" s="36"/>
      <c r="P38" s="36"/>
      <c r="Q38" s="36"/>
    </row>
    <row r="39" spans="1:17" x14ac:dyDescent="0.25">
      <c r="A39" s="38"/>
      <c r="B39" s="35"/>
      <c r="C39" s="39"/>
      <c r="D39" s="35"/>
      <c r="E39" s="41"/>
      <c r="F39" s="42"/>
      <c r="G39" s="42"/>
      <c r="H39" s="35"/>
      <c r="I39" s="42"/>
      <c r="J39" s="42"/>
      <c r="K39" s="35"/>
      <c r="L39" s="42"/>
      <c r="M39" s="42"/>
      <c r="N39" s="35"/>
      <c r="O39" s="42"/>
      <c r="P39" s="42"/>
      <c r="Q39" s="42"/>
    </row>
    <row r="40" spans="1:17" x14ac:dyDescent="0.25">
      <c r="A40" s="38"/>
      <c r="B40" s="35"/>
      <c r="C40" s="39"/>
      <c r="D40" s="35"/>
      <c r="E40" s="41"/>
      <c r="F40" s="42"/>
      <c r="G40" s="43"/>
      <c r="H40" s="35"/>
      <c r="I40" s="42"/>
      <c r="J40" s="43"/>
      <c r="K40" s="35"/>
      <c r="L40" s="42"/>
      <c r="M40" s="43"/>
      <c r="N40" s="35"/>
      <c r="O40" s="42"/>
      <c r="P40" s="42"/>
      <c r="Q40" s="42"/>
    </row>
    <row r="41" spans="1:17" x14ac:dyDescent="0.25">
      <c r="A41" s="34"/>
      <c r="B41" s="35"/>
      <c r="C41" s="34"/>
      <c r="D41" s="35"/>
      <c r="E41" s="35"/>
      <c r="F41" s="42"/>
      <c r="G41" s="42"/>
      <c r="H41" s="35"/>
      <c r="I41" s="42"/>
      <c r="J41" s="42"/>
      <c r="K41" s="35"/>
      <c r="L41" s="42"/>
      <c r="M41" s="42"/>
      <c r="N41" s="35"/>
      <c r="O41" s="42"/>
      <c r="P41" s="42"/>
      <c r="Q41" s="35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  <row r="45" spans="1:17" x14ac:dyDescent="0.25">
      <c r="A45" s="34"/>
      <c r="B45" s="35"/>
      <c r="C45" s="34"/>
      <c r="D45" s="34"/>
      <c r="E45" s="36"/>
      <c r="F45" s="36"/>
      <c r="G45" s="36"/>
      <c r="H45" s="40"/>
      <c r="I45" s="36"/>
      <c r="J45" s="36"/>
      <c r="K45" s="36"/>
      <c r="L45" s="36"/>
      <c r="M45" s="36"/>
      <c r="N45" s="36"/>
      <c r="O45" s="36"/>
      <c r="P45" s="36"/>
      <c r="Q45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863A-E3E8-4C9E-9DE3-D3638A382864}">
  <dimension ref="A1:S45"/>
  <sheetViews>
    <sheetView tabSelected="1" zoomScale="85" zoomScaleNormal="85" workbookViewId="0">
      <selection activeCell="M18" sqref="M18"/>
    </sheetView>
  </sheetViews>
  <sheetFormatPr defaultColWidth="8.75" defaultRowHeight="14" outlineLevelRow="1" x14ac:dyDescent="0.25"/>
  <cols>
    <col min="1" max="1" width="21.08203125" style="31" customWidth="1"/>
    <col min="2" max="2" width="12.5" style="32" customWidth="1"/>
    <col min="3" max="3" width="11.08203125" style="31" customWidth="1"/>
    <col min="4" max="4" width="10.75" style="31" bestFit="1" customWidth="1"/>
    <col min="5" max="5" width="11.75" style="12" customWidth="1"/>
    <col min="6" max="6" width="17.1640625" style="12" bestFit="1" customWidth="1"/>
    <col min="7" max="7" width="22" style="12" bestFit="1" customWidth="1"/>
    <col min="8" max="8" width="13.58203125" style="33" customWidth="1"/>
    <col min="9" max="9" width="8.5" style="12" bestFit="1" customWidth="1"/>
    <col min="10" max="10" width="21.58203125" style="12" bestFit="1" customWidth="1"/>
    <col min="11" max="11" width="15.25" style="12" customWidth="1"/>
    <col min="12" max="12" width="8.5" style="12" bestFit="1" customWidth="1"/>
    <col min="13" max="13" width="21.08203125" style="12" bestFit="1" customWidth="1"/>
    <col min="14" max="14" width="11.25" style="12" bestFit="1" customWidth="1"/>
    <col min="15" max="15" width="7.33203125" style="12" bestFit="1" customWidth="1"/>
    <col min="16" max="16" width="22.83203125" style="12" customWidth="1"/>
    <col min="17" max="17" width="16.5" style="12" bestFit="1" customWidth="1"/>
    <col min="18" max="18" width="9.75" style="12" bestFit="1" customWidth="1"/>
    <col min="19" max="16384" width="8.75" style="12"/>
  </cols>
  <sheetData>
    <row r="1" spans="1:19" s="4" customFormat="1" ht="34.5" customHeight="1" x14ac:dyDescent="0.25">
      <c r="A1" s="225" t="s">
        <v>189</v>
      </c>
      <c r="B1" s="226"/>
      <c r="C1" s="226"/>
      <c r="D1" s="92" t="s">
        <v>0</v>
      </c>
      <c r="E1" s="93">
        <v>83417000</v>
      </c>
      <c r="F1" s="94">
        <f t="shared" ref="F1:F10" si="0">E1/E$1</f>
        <v>1</v>
      </c>
      <c r="G1" s="231" t="s">
        <v>195</v>
      </c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18" customHeight="1" thickBot="1" x14ac:dyDescent="0.35">
      <c r="A2" s="49" t="s">
        <v>1</v>
      </c>
      <c r="B2" s="6">
        <f>SUM(B3:B24)</f>
        <v>34233435</v>
      </c>
      <c r="C2" s="95">
        <f t="shared" ref="C2:C24" si="1">B2/E$1</f>
        <v>0.41038918925398898</v>
      </c>
      <c r="D2" s="96" t="s">
        <v>44</v>
      </c>
      <c r="E2" s="6">
        <f>SUM(E3:E24)</f>
        <v>25506486</v>
      </c>
      <c r="F2" s="87">
        <f t="shared" si="0"/>
        <v>0.30577083807856914</v>
      </c>
      <c r="G2" s="96" t="s">
        <v>2</v>
      </c>
      <c r="H2" s="86">
        <f>SUM(H3:H24)</f>
        <v>12989090</v>
      </c>
      <c r="I2" s="87">
        <f>H2/E$1</f>
        <v>0.15571274440461777</v>
      </c>
      <c r="J2" s="97" t="s">
        <v>3</v>
      </c>
      <c r="K2" s="88">
        <f>SUM(K3:K24)</f>
        <v>13570716.199999999</v>
      </c>
      <c r="L2" s="87">
        <f t="shared" ref="L2" si="2">K2/E$1</f>
        <v>0.16268525840056583</v>
      </c>
      <c r="M2" s="75" t="s">
        <v>22</v>
      </c>
      <c r="N2" s="86">
        <f>SUM(N3:N24)</f>
        <v>3407687</v>
      </c>
      <c r="O2" s="87">
        <f>N2/E$1</f>
        <v>4.0851229365716821E-2</v>
      </c>
      <c r="P2" s="89" t="s">
        <v>4</v>
      </c>
      <c r="Q2" s="90">
        <f>E1-B2-E2-H2-K2-N2</f>
        <v>-6290414.1999999993</v>
      </c>
      <c r="R2" s="91">
        <f>Q2/E1</f>
        <v>-7.5409259503458517E-2</v>
      </c>
      <c r="S2" s="11"/>
    </row>
    <row r="3" spans="1:19" ht="18" customHeight="1" outlineLevel="1" thickTop="1" thickBot="1" x14ac:dyDescent="0.35">
      <c r="A3" s="50" t="s">
        <v>5</v>
      </c>
      <c r="B3" s="194">
        <v>1604720</v>
      </c>
      <c r="C3" s="82">
        <f t="shared" si="1"/>
        <v>1.9237325724972127E-2</v>
      </c>
      <c r="D3" s="83" t="s">
        <v>36</v>
      </c>
      <c r="E3" s="84">
        <v>1000000</v>
      </c>
      <c r="F3" s="85">
        <f t="shared" si="0"/>
        <v>1.1987964084059605E-2</v>
      </c>
      <c r="G3" s="66" t="s">
        <v>37</v>
      </c>
      <c r="H3" s="140">
        <v>5500000</v>
      </c>
      <c r="I3" s="3">
        <f>H3/E$1</f>
        <v>6.5933802462327828E-2</v>
      </c>
      <c r="J3" s="100" t="s">
        <v>6</v>
      </c>
      <c r="K3" s="141">
        <f>E1*5%</f>
        <v>4170850</v>
      </c>
      <c r="L3" s="101">
        <f>K3/E$1</f>
        <v>0.05</v>
      </c>
      <c r="M3" s="80" t="s">
        <v>24</v>
      </c>
      <c r="N3" s="15">
        <v>1216000</v>
      </c>
      <c r="O3" s="87">
        <f t="shared" ref="O3:O24" si="3">N3/E$1</f>
        <v>1.4577364326216478E-2</v>
      </c>
      <c r="P3" s="102"/>
      <c r="Q3" s="103"/>
      <c r="R3" s="103"/>
      <c r="S3" s="11"/>
    </row>
    <row r="4" spans="1:19" ht="18" customHeight="1" outlineLevel="1" thickTop="1" thickBot="1" x14ac:dyDescent="0.35">
      <c r="A4" s="52" t="s">
        <v>7</v>
      </c>
      <c r="B4" s="195">
        <v>6463000</v>
      </c>
      <c r="C4" s="3">
        <f t="shared" si="1"/>
        <v>7.7478211875277217E-2</v>
      </c>
      <c r="D4" s="57" t="s">
        <v>34</v>
      </c>
      <c r="E4" s="15">
        <v>3650530</v>
      </c>
      <c r="F4" s="16">
        <f>E4/E$1</f>
        <v>4.3762422527782105E-2</v>
      </c>
      <c r="G4" s="66" t="s">
        <v>168</v>
      </c>
      <c r="H4" s="64">
        <v>33000</v>
      </c>
      <c r="I4" s="3">
        <f t="shared" ref="I4:I24" si="4">H4/E$1</f>
        <v>3.9560281477396693E-4</v>
      </c>
      <c r="J4" s="158" t="s">
        <v>180</v>
      </c>
      <c r="K4" s="159">
        <v>141830</v>
      </c>
      <c r="L4" s="101">
        <f t="shared" ref="L4:L13" si="5">K4/E$1</f>
        <v>1.7002529460421736E-3</v>
      </c>
      <c r="M4" s="61" t="s">
        <v>41</v>
      </c>
      <c r="N4" s="15">
        <v>165000</v>
      </c>
      <c r="O4" s="87">
        <f t="shared" si="3"/>
        <v>1.9780140738698349E-3</v>
      </c>
      <c r="P4" s="104"/>
      <c r="Q4" s="105"/>
      <c r="R4" s="105"/>
      <c r="S4" s="11"/>
    </row>
    <row r="5" spans="1:19" ht="18" customHeight="1" outlineLevel="1" thickTop="1" thickBot="1" x14ac:dyDescent="0.4">
      <c r="A5" s="52" t="s">
        <v>31</v>
      </c>
      <c r="B5" s="195">
        <v>3247000</v>
      </c>
      <c r="C5" s="3">
        <f t="shared" si="1"/>
        <v>3.8924919380941538E-2</v>
      </c>
      <c r="D5" s="58" t="s">
        <v>49</v>
      </c>
      <c r="E5" s="15">
        <v>3306440</v>
      </c>
      <c r="F5" s="16">
        <f>E5/E$1</f>
        <v>3.9637483966098036E-2</v>
      </c>
      <c r="G5" s="66" t="s">
        <v>59</v>
      </c>
      <c r="H5" s="64">
        <v>225000</v>
      </c>
      <c r="I5" s="3">
        <f t="shared" si="4"/>
        <v>2.6972919189134107E-3</v>
      </c>
      <c r="J5" s="221" t="s">
        <v>9</v>
      </c>
      <c r="K5" s="159">
        <v>14160</v>
      </c>
      <c r="L5" s="101">
        <f t="shared" si="5"/>
        <v>1.6974957143028399E-4</v>
      </c>
      <c r="M5" s="61" t="s">
        <v>42</v>
      </c>
      <c r="N5" s="15">
        <v>500000</v>
      </c>
      <c r="O5" s="87">
        <f t="shared" si="3"/>
        <v>5.9939820420298025E-3</v>
      </c>
      <c r="P5" s="106" t="s">
        <v>11</v>
      </c>
      <c r="Q5" s="18">
        <f>SUM(Q6:Q21)</f>
        <v>138013</v>
      </c>
      <c r="R5" s="10">
        <f t="shared" ref="R5:R22" si="6">Q5/E$1</f>
        <v>1.6544948871333183E-3</v>
      </c>
      <c r="S5" s="19"/>
    </row>
    <row r="6" spans="1:19" ht="18" customHeight="1" outlineLevel="1" thickTop="1" thickBot="1" x14ac:dyDescent="0.4">
      <c r="A6" s="51" t="s">
        <v>12</v>
      </c>
      <c r="B6" s="195">
        <v>1024400</v>
      </c>
      <c r="C6" s="3">
        <f t="shared" si="1"/>
        <v>1.2280470407710659E-2</v>
      </c>
      <c r="D6" s="57" t="s">
        <v>52</v>
      </c>
      <c r="E6" s="15">
        <v>1986020</v>
      </c>
      <c r="F6" s="16">
        <f t="shared" si="0"/>
        <v>2.3808336430224054E-2</v>
      </c>
      <c r="G6" s="65" t="s">
        <v>15</v>
      </c>
      <c r="H6" s="64">
        <v>110000</v>
      </c>
      <c r="I6" s="3">
        <f t="shared" si="4"/>
        <v>1.3186760492465564E-3</v>
      </c>
      <c r="J6" s="210"/>
      <c r="K6" s="161"/>
      <c r="L6" s="101">
        <f t="shared" si="5"/>
        <v>0</v>
      </c>
      <c r="M6" s="62" t="s">
        <v>141</v>
      </c>
      <c r="N6" s="15">
        <v>1121010</v>
      </c>
      <c r="O6" s="87">
        <f t="shared" si="3"/>
        <v>1.3438627617871656E-2</v>
      </c>
      <c r="P6" s="107" t="s">
        <v>57</v>
      </c>
      <c r="Q6" s="20">
        <v>138013</v>
      </c>
      <c r="R6" s="10">
        <f t="shared" si="6"/>
        <v>1.6544948871333183E-3</v>
      </c>
      <c r="S6" s="21"/>
    </row>
    <row r="7" spans="1:19" ht="18" customHeight="1" outlineLevel="1" thickTop="1" thickBot="1" x14ac:dyDescent="0.4">
      <c r="A7" s="52" t="s">
        <v>32</v>
      </c>
      <c r="B7" s="195">
        <v>8613000</v>
      </c>
      <c r="C7" s="3">
        <f t="shared" si="1"/>
        <v>0.10325233465600538</v>
      </c>
      <c r="D7" s="58" t="s">
        <v>66</v>
      </c>
      <c r="E7" s="15">
        <v>3850531</v>
      </c>
      <c r="F7" s="16">
        <f t="shared" si="0"/>
        <v>4.6160027332558112E-2</v>
      </c>
      <c r="G7" s="65" t="s">
        <v>18</v>
      </c>
      <c r="H7" s="64">
        <f>44970+9490</f>
        <v>54460</v>
      </c>
      <c r="I7" s="3">
        <f t="shared" si="4"/>
        <v>6.5286452401788601E-4</v>
      </c>
      <c r="J7" s="78" t="s">
        <v>13</v>
      </c>
      <c r="K7" s="144">
        <f>E2*20%</f>
        <v>5101297.2</v>
      </c>
      <c r="L7" s="101">
        <f t="shared" si="5"/>
        <v>6.1154167615713823E-2</v>
      </c>
      <c r="M7" s="62" t="s">
        <v>147</v>
      </c>
      <c r="N7" s="15">
        <v>300000</v>
      </c>
      <c r="O7" s="87">
        <f t="shared" si="3"/>
        <v>3.5963892252178814E-3</v>
      </c>
      <c r="P7" s="222"/>
      <c r="Q7" s="20"/>
      <c r="R7" s="10">
        <f t="shared" si="6"/>
        <v>0</v>
      </c>
      <c r="S7" s="21"/>
    </row>
    <row r="8" spans="1:19" ht="18" customHeight="1" outlineLevel="1" thickTop="1" thickBot="1" x14ac:dyDescent="0.4">
      <c r="A8" s="52" t="s">
        <v>33</v>
      </c>
      <c r="B8" s="195">
        <v>6219800</v>
      </c>
      <c r="C8" s="3">
        <f t="shared" si="1"/>
        <v>7.4562739010033921E-2</v>
      </c>
      <c r="D8" s="57" t="s">
        <v>67</v>
      </c>
      <c r="E8" s="15">
        <v>3551283</v>
      </c>
      <c r="F8" s="16">
        <f t="shared" si="0"/>
        <v>4.2572653056331441E-2</v>
      </c>
      <c r="G8" s="65" t="s">
        <v>23</v>
      </c>
      <c r="H8" s="67">
        <v>1468000</v>
      </c>
      <c r="I8" s="3">
        <f t="shared" si="4"/>
        <v>1.75983312753995E-2</v>
      </c>
      <c r="J8" s="76" t="s">
        <v>14</v>
      </c>
      <c r="K8" s="197">
        <v>165000</v>
      </c>
      <c r="L8" s="101">
        <f t="shared" si="5"/>
        <v>1.9780140738698349E-3</v>
      </c>
      <c r="M8" s="62" t="s">
        <v>153</v>
      </c>
      <c r="N8" s="15">
        <v>29677</v>
      </c>
      <c r="O8" s="87">
        <f t="shared" si="3"/>
        <v>3.5576681012263687E-4</v>
      </c>
      <c r="P8" s="109"/>
      <c r="Q8" s="20"/>
      <c r="R8" s="10">
        <f t="shared" si="6"/>
        <v>0</v>
      </c>
      <c r="S8" s="21"/>
    </row>
    <row r="9" spans="1:19" ht="18" customHeight="1" outlineLevel="1" thickTop="1" thickBot="1" x14ac:dyDescent="0.4">
      <c r="A9" s="52" t="s">
        <v>17</v>
      </c>
      <c r="B9" s="195">
        <v>1235000</v>
      </c>
      <c r="C9" s="3">
        <f t="shared" si="1"/>
        <v>1.4805135643813611E-2</v>
      </c>
      <c r="D9" s="58" t="s">
        <v>192</v>
      </c>
      <c r="E9" s="15">
        <v>3011782</v>
      </c>
      <c r="F9" s="16">
        <f t="shared" si="0"/>
        <v>3.6105134445017201E-2</v>
      </c>
      <c r="G9" s="65" t="s">
        <v>25</v>
      </c>
      <c r="H9" s="218">
        <v>400000</v>
      </c>
      <c r="I9" s="3">
        <f t="shared" si="4"/>
        <v>4.7951856336238413E-3</v>
      </c>
      <c r="J9" s="76" t="s">
        <v>16</v>
      </c>
      <c r="K9" s="108"/>
      <c r="L9" s="101">
        <f t="shared" si="5"/>
        <v>0</v>
      </c>
      <c r="M9" s="62" t="s">
        <v>196</v>
      </c>
      <c r="N9" s="15">
        <v>76000</v>
      </c>
      <c r="O9" s="87">
        <f t="shared" si="3"/>
        <v>9.1108527038852988E-4</v>
      </c>
      <c r="P9" s="109"/>
      <c r="Q9" s="20"/>
      <c r="R9" s="10">
        <f t="shared" si="6"/>
        <v>0</v>
      </c>
      <c r="S9" s="21"/>
    </row>
    <row r="10" spans="1:19" ht="18" customHeight="1" outlineLevel="1" thickTop="1" thickBot="1" x14ac:dyDescent="0.4">
      <c r="A10" s="52" t="s">
        <v>38</v>
      </c>
      <c r="B10" s="195">
        <f>((850+365)*70+(202*50))*11.5</f>
        <v>1094225</v>
      </c>
      <c r="C10" s="3">
        <f t="shared" si="1"/>
        <v>1.3117529999880121E-2</v>
      </c>
      <c r="D10" s="58" t="s">
        <v>193</v>
      </c>
      <c r="E10" s="15">
        <v>1044900</v>
      </c>
      <c r="F10" s="16">
        <f t="shared" si="0"/>
        <v>1.252622367143388E-2</v>
      </c>
      <c r="G10" s="66" t="s">
        <v>69</v>
      </c>
      <c r="H10" s="67">
        <v>220000</v>
      </c>
      <c r="I10" s="3">
        <f t="shared" si="4"/>
        <v>2.6373520984931129E-3</v>
      </c>
      <c r="J10" s="78" t="s">
        <v>19</v>
      </c>
      <c r="K10" s="144">
        <v>90873</v>
      </c>
      <c r="L10" s="101">
        <f t="shared" si="5"/>
        <v>1.0893822602107484E-3</v>
      </c>
      <c r="M10" s="62"/>
      <c r="N10" s="15"/>
      <c r="O10" s="87">
        <f t="shared" si="3"/>
        <v>0</v>
      </c>
      <c r="P10" s="107"/>
      <c r="Q10" s="20"/>
      <c r="R10" s="10">
        <f t="shared" si="6"/>
        <v>0</v>
      </c>
      <c r="S10" s="21"/>
    </row>
    <row r="11" spans="1:19" s="23" customFormat="1" ht="18" customHeight="1" thickTop="1" thickBot="1" x14ac:dyDescent="0.4">
      <c r="A11" s="56" t="s">
        <v>27</v>
      </c>
      <c r="B11" s="195">
        <v>193400</v>
      </c>
      <c r="C11" s="3">
        <f t="shared" si="1"/>
        <v>2.3184722538571274E-3</v>
      </c>
      <c r="D11" s="58"/>
      <c r="E11" s="15"/>
      <c r="F11" s="16">
        <f>E11/E$1</f>
        <v>0</v>
      </c>
      <c r="G11" s="76" t="s">
        <v>10</v>
      </c>
      <c r="H11" s="64"/>
      <c r="I11" s="3">
        <f>H11/E$1</f>
        <v>0</v>
      </c>
      <c r="J11" s="78" t="s">
        <v>98</v>
      </c>
      <c r="K11" s="144">
        <v>20200</v>
      </c>
      <c r="L11" s="101">
        <f t="shared" si="5"/>
        <v>2.42156874498004E-4</v>
      </c>
      <c r="M11" s="62"/>
      <c r="N11" s="15"/>
      <c r="O11" s="87">
        <f t="shared" si="3"/>
        <v>0</v>
      </c>
      <c r="P11" s="107"/>
      <c r="Q11" s="20"/>
      <c r="R11" s="10">
        <f t="shared" si="6"/>
        <v>0</v>
      </c>
      <c r="S11" s="21"/>
    </row>
    <row r="12" spans="1:19" s="23" customFormat="1" ht="18" customHeight="1" thickTop="1" thickBot="1" x14ac:dyDescent="0.4">
      <c r="A12" s="54" t="s">
        <v>39</v>
      </c>
      <c r="B12" s="194">
        <v>30000</v>
      </c>
      <c r="C12" s="3">
        <f t="shared" si="1"/>
        <v>3.5963892252178814E-4</v>
      </c>
      <c r="D12" s="58"/>
      <c r="E12" s="15"/>
      <c r="F12" s="16">
        <f>E12/E$1</f>
        <v>0</v>
      </c>
      <c r="G12" s="66" t="s">
        <v>149</v>
      </c>
      <c r="H12" s="67">
        <v>847490</v>
      </c>
      <c r="I12" s="3">
        <f t="shared" si="4"/>
        <v>1.0159679681599674E-2</v>
      </c>
      <c r="J12" s="78" t="s">
        <v>71</v>
      </c>
      <c r="K12" s="110">
        <v>165000</v>
      </c>
      <c r="L12" s="101">
        <f t="shared" si="5"/>
        <v>1.9780140738698349E-3</v>
      </c>
      <c r="M12" s="62"/>
      <c r="N12" s="15"/>
      <c r="O12" s="87">
        <f t="shared" si="3"/>
        <v>0</v>
      </c>
      <c r="P12" s="111"/>
      <c r="Q12" s="20"/>
      <c r="R12" s="10">
        <f t="shared" si="6"/>
        <v>0</v>
      </c>
      <c r="S12" s="21"/>
    </row>
    <row r="13" spans="1:19" s="23" customFormat="1" ht="18" customHeight="1" thickTop="1" thickBot="1" x14ac:dyDescent="0.4">
      <c r="A13" s="56" t="s">
        <v>40</v>
      </c>
      <c r="B13" s="195">
        <v>1141800</v>
      </c>
      <c r="C13" s="3">
        <f t="shared" si="1"/>
        <v>1.3687857391179257E-2</v>
      </c>
      <c r="D13" s="58"/>
      <c r="E13" s="15"/>
      <c r="F13" s="16">
        <f t="shared" ref="F13:F16" si="7">E13/E$1</f>
        <v>0</v>
      </c>
      <c r="G13" s="66" t="s">
        <v>56</v>
      </c>
      <c r="H13" s="67">
        <v>2388930</v>
      </c>
      <c r="I13" s="3">
        <f>H13/E$1</f>
        <v>2.8638407039332511E-2</v>
      </c>
      <c r="J13" s="79" t="s">
        <v>21</v>
      </c>
      <c r="K13" s="144">
        <f>E1*1.8%</f>
        <v>1501506.0000000002</v>
      </c>
      <c r="L13" s="101">
        <f t="shared" si="5"/>
        <v>1.8000000000000002E-2</v>
      </c>
      <c r="M13" s="3"/>
      <c r="N13" s="3"/>
      <c r="O13" s="87">
        <f t="shared" si="3"/>
        <v>0</v>
      </c>
      <c r="P13" s="109"/>
      <c r="Q13" s="20"/>
      <c r="R13" s="10">
        <f t="shared" si="6"/>
        <v>0</v>
      </c>
      <c r="S13" s="21"/>
    </row>
    <row r="14" spans="1:19" s="26" customFormat="1" ht="18" customHeight="1" thickTop="1" thickBot="1" x14ac:dyDescent="0.4">
      <c r="A14" s="47" t="s">
        <v>51</v>
      </c>
      <c r="B14" s="195">
        <v>460000</v>
      </c>
      <c r="C14" s="3">
        <f t="shared" si="1"/>
        <v>5.514463478667418E-3</v>
      </c>
      <c r="D14" s="58"/>
      <c r="E14" s="15"/>
      <c r="F14" s="16">
        <f t="shared" si="7"/>
        <v>0</v>
      </c>
      <c r="G14" s="210" t="s">
        <v>162</v>
      </c>
      <c r="H14" s="163">
        <v>155000</v>
      </c>
      <c r="I14" s="3">
        <f t="shared" si="4"/>
        <v>1.8581344330292386E-3</v>
      </c>
      <c r="J14" s="61" t="s">
        <v>184</v>
      </c>
      <c r="K14" s="145">
        <v>200000</v>
      </c>
      <c r="L14" s="3"/>
      <c r="M14" s="3"/>
      <c r="N14" s="3"/>
      <c r="O14" s="87">
        <f t="shared" si="3"/>
        <v>0</v>
      </c>
      <c r="P14" s="109"/>
      <c r="Q14" s="20"/>
      <c r="R14" s="10">
        <f t="shared" si="6"/>
        <v>0</v>
      </c>
      <c r="S14" s="21"/>
    </row>
    <row r="15" spans="1:19" ht="18" customHeight="1" outlineLevel="1" thickTop="1" thickBot="1" x14ac:dyDescent="0.4">
      <c r="A15" s="63" t="s">
        <v>65</v>
      </c>
      <c r="B15" s="195">
        <v>682000</v>
      </c>
      <c r="C15" s="3">
        <f t="shared" si="1"/>
        <v>8.1757915053286504E-3</v>
      </c>
      <c r="D15" s="59"/>
      <c r="E15" s="15"/>
      <c r="F15" s="16">
        <f t="shared" si="7"/>
        <v>0</v>
      </c>
      <c r="G15" s="80" t="s">
        <v>72</v>
      </c>
      <c r="H15" s="67">
        <v>500000</v>
      </c>
      <c r="I15" s="3">
        <f t="shared" si="4"/>
        <v>5.9939820420298025E-3</v>
      </c>
      <c r="J15" s="61" t="s">
        <v>185</v>
      </c>
      <c r="K15" s="145">
        <v>2000000</v>
      </c>
      <c r="L15" s="3"/>
      <c r="M15" s="3"/>
      <c r="N15" s="3"/>
      <c r="O15" s="87">
        <f t="shared" si="3"/>
        <v>0</v>
      </c>
      <c r="P15" s="109"/>
      <c r="Q15" s="20"/>
      <c r="R15" s="10">
        <f t="shared" si="6"/>
        <v>0</v>
      </c>
      <c r="S15" s="21"/>
    </row>
    <row r="16" spans="1:19" ht="18" customHeight="1" outlineLevel="1" thickTop="1" thickBot="1" x14ac:dyDescent="0.4">
      <c r="A16" s="48" t="s">
        <v>73</v>
      </c>
      <c r="B16" s="195">
        <f>140000+140000+140000+140000</f>
        <v>560000</v>
      </c>
      <c r="C16" s="3">
        <f t="shared" si="1"/>
        <v>6.7132598870733784E-3</v>
      </c>
      <c r="D16" s="58" t="s">
        <v>28</v>
      </c>
      <c r="E16" s="15">
        <v>4105000</v>
      </c>
      <c r="F16" s="16">
        <f t="shared" si="7"/>
        <v>4.9210592565064673E-2</v>
      </c>
      <c r="G16" s="80" t="s">
        <v>74</v>
      </c>
      <c r="H16" s="163">
        <v>21000</v>
      </c>
      <c r="I16" s="3">
        <f t="shared" si="4"/>
        <v>2.5174724576525171E-4</v>
      </c>
      <c r="J16" s="61"/>
      <c r="K16" s="145"/>
      <c r="L16" s="3"/>
      <c r="M16" s="3"/>
      <c r="N16" s="3"/>
      <c r="O16" s="87">
        <f t="shared" si="3"/>
        <v>0</v>
      </c>
      <c r="P16" s="109"/>
      <c r="Q16" s="20"/>
      <c r="R16" s="10">
        <f t="shared" si="6"/>
        <v>0</v>
      </c>
      <c r="S16" s="21"/>
    </row>
    <row r="17" spans="1:19" ht="18" customHeight="1" thickTop="1" thickBot="1" x14ac:dyDescent="0.4">
      <c r="A17" s="62" t="s">
        <v>118</v>
      </c>
      <c r="B17" s="196">
        <v>150000</v>
      </c>
      <c r="C17" s="3">
        <f t="shared" si="1"/>
        <v>1.7981946126089407E-3</v>
      </c>
      <c r="D17" s="17"/>
      <c r="E17" s="15"/>
      <c r="F17" s="16"/>
      <c r="G17" s="76" t="s">
        <v>150</v>
      </c>
      <c r="H17" s="64">
        <v>378000</v>
      </c>
      <c r="I17" s="3">
        <f t="shared" si="4"/>
        <v>4.5314504237745305E-3</v>
      </c>
      <c r="J17" s="61"/>
      <c r="K17" s="145"/>
      <c r="L17" s="3"/>
      <c r="M17" s="3"/>
      <c r="N17" s="3"/>
      <c r="O17" s="87">
        <f t="shared" si="3"/>
        <v>0</v>
      </c>
      <c r="P17" s="112"/>
      <c r="Q17" s="20"/>
      <c r="R17" s="10">
        <f t="shared" si="6"/>
        <v>0</v>
      </c>
      <c r="S17" s="21"/>
    </row>
    <row r="18" spans="1:19" ht="18" customHeight="1" thickTop="1" thickBot="1" x14ac:dyDescent="0.4">
      <c r="A18" s="62" t="s">
        <v>157</v>
      </c>
      <c r="B18" s="196">
        <v>286000</v>
      </c>
      <c r="C18" s="3">
        <f t="shared" si="1"/>
        <v>3.4285577280410468E-3</v>
      </c>
      <c r="D18" s="17"/>
      <c r="E18" s="15"/>
      <c r="F18" s="16"/>
      <c r="G18" s="147" t="s">
        <v>94</v>
      </c>
      <c r="H18" s="164">
        <v>322000</v>
      </c>
      <c r="I18" s="3">
        <f t="shared" si="4"/>
        <v>3.8601244350671927E-3</v>
      </c>
      <c r="J18" s="61"/>
      <c r="K18" s="145"/>
      <c r="L18" s="3"/>
      <c r="M18" s="3"/>
      <c r="N18" s="3"/>
      <c r="O18" s="87">
        <f t="shared" si="3"/>
        <v>0</v>
      </c>
      <c r="P18" s="112"/>
      <c r="Q18" s="20"/>
      <c r="R18" s="10">
        <f t="shared" si="6"/>
        <v>0</v>
      </c>
      <c r="S18" s="21"/>
    </row>
    <row r="19" spans="1:19" s="28" customFormat="1" ht="18" customHeight="1" outlineLevel="1" thickTop="1" thickBot="1" x14ac:dyDescent="0.4">
      <c r="A19" s="62" t="s">
        <v>47</v>
      </c>
      <c r="B19" s="195">
        <f>11740+28250+52920+12300+18750+12100+11730+9520</f>
        <v>157310</v>
      </c>
      <c r="C19" s="3">
        <f t="shared" si="1"/>
        <v>1.8858266300634163E-3</v>
      </c>
      <c r="D19" s="14"/>
      <c r="E19" s="15"/>
      <c r="F19" s="16"/>
      <c r="G19" s="78" t="s">
        <v>97</v>
      </c>
      <c r="H19" s="64">
        <f>20000+74100+49400+4000+16000</f>
        <v>163500</v>
      </c>
      <c r="I19" s="82">
        <f>H19/E$1</f>
        <v>1.9600321277437453E-3</v>
      </c>
      <c r="J19" s="62"/>
      <c r="K19" s="145"/>
      <c r="L19" s="3"/>
      <c r="M19" s="3"/>
      <c r="N19" s="3"/>
      <c r="O19" s="87">
        <f t="shared" si="3"/>
        <v>0</v>
      </c>
      <c r="P19" s="109"/>
      <c r="Q19" s="20"/>
      <c r="R19" s="10">
        <f t="shared" si="6"/>
        <v>0</v>
      </c>
      <c r="S19" s="27"/>
    </row>
    <row r="20" spans="1:19" s="28" customFormat="1" ht="18" customHeight="1" outlineLevel="1" thickTop="1" thickBot="1" x14ac:dyDescent="0.4">
      <c r="A20" s="62" t="s">
        <v>45</v>
      </c>
      <c r="B20" s="195">
        <f>129780</f>
        <v>129780</v>
      </c>
      <c r="C20" s="3">
        <f t="shared" si="1"/>
        <v>1.5557979788292555E-3</v>
      </c>
      <c r="D20" s="17"/>
      <c r="E20" s="15"/>
      <c r="F20" s="16"/>
      <c r="G20" s="62" t="s">
        <v>46</v>
      </c>
      <c r="H20" s="64"/>
      <c r="I20" s="3">
        <f t="shared" ref="I20:I23" si="8">H20/E$1</f>
        <v>0</v>
      </c>
      <c r="J20" s="62"/>
      <c r="K20" s="145"/>
      <c r="L20" s="3"/>
      <c r="M20" s="3"/>
      <c r="N20" s="3"/>
      <c r="O20" s="87">
        <f t="shared" si="3"/>
        <v>0</v>
      </c>
      <c r="P20" s="107"/>
      <c r="Q20" s="20"/>
      <c r="R20" s="10">
        <f t="shared" si="6"/>
        <v>0</v>
      </c>
      <c r="S20" s="27"/>
    </row>
    <row r="21" spans="1:19" s="28" customFormat="1" ht="18" customHeight="1" outlineLevel="1" thickTop="1" thickBot="1" x14ac:dyDescent="0.4">
      <c r="A21" s="48" t="s">
        <v>175</v>
      </c>
      <c r="B21" s="195">
        <v>144000</v>
      </c>
      <c r="C21" s="3">
        <f t="shared" si="1"/>
        <v>1.7262668281045829E-3</v>
      </c>
      <c r="D21" s="17"/>
      <c r="E21" s="15"/>
      <c r="F21" s="16"/>
      <c r="G21" s="69" t="s">
        <v>152</v>
      </c>
      <c r="H21" s="67">
        <f>8200+10330+14900+10000+6700+12980+16500+18940+9870+8240+7900+13900+2750</f>
        <v>141210</v>
      </c>
      <c r="I21" s="3">
        <f t="shared" si="8"/>
        <v>1.6928204083100566E-3</v>
      </c>
      <c r="J21" s="62"/>
      <c r="K21" s="145"/>
      <c r="L21" s="3"/>
      <c r="M21" s="3"/>
      <c r="N21" s="3"/>
      <c r="O21" s="87">
        <f t="shared" si="3"/>
        <v>0</v>
      </c>
      <c r="P21" s="107"/>
      <c r="Q21" s="20"/>
      <c r="R21" s="10">
        <f t="shared" si="6"/>
        <v>0</v>
      </c>
      <c r="S21" s="27"/>
    </row>
    <row r="22" spans="1:19" s="28" customFormat="1" ht="18" customHeight="1" outlineLevel="1" thickTop="1" thickBot="1" x14ac:dyDescent="0.4">
      <c r="A22" s="48" t="s">
        <v>181</v>
      </c>
      <c r="B22" s="195">
        <f>14*35000</f>
        <v>490000</v>
      </c>
      <c r="C22" s="3">
        <f t="shared" si="1"/>
        <v>5.874102401189206E-3</v>
      </c>
      <c r="D22" s="17"/>
      <c r="E22" s="15"/>
      <c r="F22" s="16"/>
      <c r="G22" s="80" t="s">
        <v>154</v>
      </c>
      <c r="H22" s="163">
        <v>38500</v>
      </c>
      <c r="I22" s="3">
        <f t="shared" si="8"/>
        <v>4.6153661723629476E-4</v>
      </c>
      <c r="J22" s="62"/>
      <c r="K22" s="145"/>
      <c r="L22" s="3"/>
      <c r="M22" s="3"/>
      <c r="N22" s="3"/>
      <c r="O22" s="87">
        <f t="shared" si="3"/>
        <v>0</v>
      </c>
      <c r="P22" s="113"/>
      <c r="Q22" s="20"/>
      <c r="R22" s="10">
        <f t="shared" si="6"/>
        <v>0</v>
      </c>
      <c r="S22" s="98">
        <f>SUM(S6:S21)</f>
        <v>0</v>
      </c>
    </row>
    <row r="23" spans="1:19" s="28" customFormat="1" ht="18" customHeight="1" outlineLevel="1" thickTop="1" thickBot="1" x14ac:dyDescent="0.35">
      <c r="A23" s="48" t="s">
        <v>182</v>
      </c>
      <c r="B23" s="195">
        <f>40*7700</f>
        <v>308000</v>
      </c>
      <c r="C23" s="3">
        <f t="shared" si="1"/>
        <v>3.6922929378903581E-3</v>
      </c>
      <c r="D23" s="14"/>
      <c r="E23" s="15"/>
      <c r="F23" s="3"/>
      <c r="G23" s="220"/>
      <c r="H23" s="73"/>
      <c r="I23" s="3">
        <f t="shared" si="8"/>
        <v>0</v>
      </c>
      <c r="J23" s="62"/>
      <c r="K23" s="145"/>
      <c r="L23" s="3"/>
      <c r="M23" s="3"/>
      <c r="N23" s="3"/>
      <c r="O23" s="87">
        <f t="shared" si="3"/>
        <v>0</v>
      </c>
      <c r="P23" s="106" t="s">
        <v>29</v>
      </c>
      <c r="Q23" s="115">
        <f>Q2-Q5</f>
        <v>-6428427.1999999993</v>
      </c>
      <c r="R23" s="10">
        <f>Q23/E1</f>
        <v>-7.7063754390591835E-2</v>
      </c>
      <c r="S23" s="22"/>
    </row>
    <row r="24" spans="1:19" s="28" customFormat="1" ht="18" customHeight="1" outlineLevel="1" thickTop="1" thickBot="1" x14ac:dyDescent="0.35">
      <c r="A24" s="48"/>
      <c r="B24" s="195"/>
      <c r="C24" s="3">
        <f t="shared" si="1"/>
        <v>0</v>
      </c>
      <c r="D24" s="14"/>
      <c r="E24" s="15"/>
      <c r="F24" s="3"/>
      <c r="G24" s="220" t="s">
        <v>194</v>
      </c>
      <c r="H24" s="73">
        <v>23000</v>
      </c>
      <c r="I24" s="3">
        <f t="shared" si="4"/>
        <v>2.7572317393337087E-4</v>
      </c>
      <c r="J24" s="62"/>
      <c r="K24" s="145"/>
      <c r="L24" s="3"/>
      <c r="M24" s="3"/>
      <c r="N24" s="3"/>
      <c r="O24" s="87">
        <f t="shared" si="3"/>
        <v>0</v>
      </c>
      <c r="P24" s="113"/>
      <c r="Q24" s="114"/>
      <c r="R24" s="114"/>
      <c r="S24" s="22"/>
    </row>
    <row r="25" spans="1:19" s="26" customFormat="1" ht="18" customHeight="1" thickTop="1" x14ac:dyDescent="0.25">
      <c r="G25" s="29"/>
      <c r="H25" s="30"/>
    </row>
    <row r="26" spans="1:19" x14ac:dyDescent="0.25">
      <c r="A26" s="34"/>
      <c r="B26" s="35"/>
      <c r="C26" s="34"/>
      <c r="D26" s="35"/>
      <c r="E26" s="35"/>
      <c r="F26" s="36"/>
      <c r="G26" s="35"/>
      <c r="H26" s="35"/>
      <c r="I26" s="36"/>
      <c r="J26" s="35"/>
      <c r="K26" s="35"/>
      <c r="L26" s="36"/>
      <c r="M26" s="35"/>
      <c r="N26" s="37"/>
      <c r="O26" s="36"/>
      <c r="P26" s="36"/>
      <c r="Q26" s="35"/>
    </row>
    <row r="27" spans="1:19" x14ac:dyDescent="0.25">
      <c r="A27" s="38"/>
      <c r="B27" s="35"/>
      <c r="C27" s="38"/>
      <c r="D27" s="35"/>
      <c r="E27" s="35"/>
      <c r="F27" s="36"/>
      <c r="G27" s="38"/>
      <c r="H27" s="35"/>
      <c r="I27" s="36"/>
      <c r="J27" s="38"/>
      <c r="K27" s="35"/>
      <c r="L27" s="36"/>
      <c r="M27" s="38"/>
      <c r="N27" s="35"/>
      <c r="O27" s="36"/>
      <c r="P27" s="38"/>
      <c r="Q27" s="35"/>
    </row>
    <row r="28" spans="1:19" x14ac:dyDescent="0.25">
      <c r="A28" s="38"/>
      <c r="B28" s="35"/>
      <c r="C28" s="38"/>
      <c r="D28" s="35"/>
      <c r="E28" s="35"/>
      <c r="F28" s="36"/>
      <c r="G28" s="38"/>
      <c r="H28" s="35"/>
      <c r="I28" s="36"/>
      <c r="J28" s="38"/>
      <c r="K28" s="35"/>
      <c r="L28" s="36"/>
      <c r="M28" s="38"/>
      <c r="N28" s="35"/>
      <c r="O28" s="36"/>
      <c r="P28" s="38"/>
      <c r="Q28" s="35"/>
    </row>
    <row r="29" spans="1:19" x14ac:dyDescent="0.25">
      <c r="A29" s="38"/>
      <c r="B29" s="35"/>
      <c r="C29" s="38"/>
      <c r="D29" s="35"/>
      <c r="E29" s="35"/>
      <c r="F29" s="36"/>
      <c r="G29" s="38"/>
      <c r="H29" s="35"/>
      <c r="I29" s="36"/>
      <c r="J29" s="38"/>
      <c r="K29" s="35"/>
      <c r="L29" s="36"/>
      <c r="M29" s="38"/>
      <c r="N29" s="35"/>
      <c r="O29" s="36"/>
      <c r="P29" s="38"/>
      <c r="Q29" s="35"/>
    </row>
    <row r="30" spans="1:19" x14ac:dyDescent="0.25">
      <c r="A30" s="38"/>
      <c r="B30" s="35"/>
      <c r="C30" s="38"/>
      <c r="D30" s="35"/>
      <c r="E30" s="35"/>
      <c r="F30" s="36"/>
      <c r="G30" s="38"/>
      <c r="H30" s="35"/>
      <c r="I30" s="36"/>
      <c r="J30" s="38"/>
      <c r="K30" s="35"/>
      <c r="L30" s="36"/>
      <c r="M30" s="38"/>
      <c r="N30" s="35"/>
      <c r="O30" s="36"/>
      <c r="P30" s="38"/>
      <c r="Q30" s="35"/>
    </row>
    <row r="31" spans="1:19" x14ac:dyDescent="0.25">
      <c r="A31" s="38"/>
      <c r="B31" s="35"/>
      <c r="C31" s="38"/>
      <c r="D31" s="35"/>
      <c r="E31" s="35"/>
      <c r="F31" s="36"/>
      <c r="G31" s="38"/>
      <c r="H31" s="35"/>
      <c r="I31" s="36"/>
      <c r="J31" s="38"/>
      <c r="K31" s="35"/>
      <c r="L31" s="36"/>
      <c r="M31" s="38"/>
      <c r="N31" s="35"/>
      <c r="O31" s="36"/>
      <c r="P31" s="38"/>
      <c r="Q31" s="35"/>
    </row>
    <row r="32" spans="1:19" x14ac:dyDescent="0.25">
      <c r="A32" s="38"/>
      <c r="B32" s="35"/>
      <c r="C32" s="38"/>
      <c r="D32" s="35"/>
      <c r="E32" s="35"/>
      <c r="F32" s="36"/>
      <c r="G32" s="38"/>
      <c r="H32" s="35"/>
      <c r="I32" s="36"/>
      <c r="J32" s="38"/>
      <c r="K32" s="35"/>
      <c r="L32" s="36"/>
      <c r="M32" s="38"/>
      <c r="N32" s="35"/>
      <c r="O32" s="36"/>
      <c r="P32" s="38"/>
      <c r="Q32" s="35"/>
    </row>
    <row r="33" spans="1:17" x14ac:dyDescent="0.25">
      <c r="A33" s="38"/>
      <c r="B33" s="35"/>
      <c r="C33" s="38"/>
      <c r="D33" s="35"/>
      <c r="E33" s="35"/>
      <c r="F33" s="36"/>
      <c r="G33" s="38"/>
      <c r="H33" s="35"/>
      <c r="I33" s="36"/>
      <c r="J33" s="38"/>
      <c r="K33" s="35"/>
      <c r="L33" s="36"/>
      <c r="M33" s="38"/>
      <c r="N33" s="35"/>
      <c r="O33" s="36"/>
      <c r="P33" s="38"/>
      <c r="Q33" s="35"/>
    </row>
    <row r="34" spans="1:17" x14ac:dyDescent="0.25">
      <c r="A34" s="38"/>
      <c r="B34" s="35"/>
      <c r="C34" s="38"/>
      <c r="D34" s="35"/>
      <c r="E34" s="35"/>
      <c r="F34" s="36"/>
      <c r="G34" s="38"/>
      <c r="H34" s="35"/>
      <c r="I34" s="36"/>
      <c r="J34" s="38"/>
      <c r="K34" s="35"/>
      <c r="L34" s="36"/>
      <c r="M34" s="38"/>
      <c r="N34" s="35"/>
      <c r="O34" s="36"/>
      <c r="P34" s="38"/>
      <c r="Q34" s="35"/>
    </row>
    <row r="35" spans="1:17" x14ac:dyDescent="0.25">
      <c r="A35" s="38"/>
      <c r="B35" s="35"/>
      <c r="C35" s="38"/>
      <c r="D35" s="35"/>
      <c r="E35" s="34"/>
      <c r="F35" s="36"/>
      <c r="G35" s="38"/>
      <c r="H35" s="35"/>
      <c r="I35" s="36"/>
      <c r="J35" s="38"/>
      <c r="K35" s="35"/>
      <c r="L35" s="36"/>
      <c r="M35" s="38"/>
      <c r="N35" s="35"/>
      <c r="O35" s="36"/>
      <c r="P35" s="39"/>
      <c r="Q35" s="36"/>
    </row>
    <row r="36" spans="1:17" x14ac:dyDescent="0.25">
      <c r="A36" s="38"/>
      <c r="B36" s="35"/>
      <c r="C36" s="38"/>
      <c r="D36" s="35"/>
      <c r="E36" s="34"/>
      <c r="F36" s="36"/>
      <c r="G36" s="38"/>
      <c r="H36" s="35"/>
      <c r="I36" s="36"/>
      <c r="J36" s="38"/>
      <c r="K36" s="35"/>
      <c r="L36" s="36"/>
      <c r="M36" s="38"/>
      <c r="N36" s="35"/>
      <c r="O36" s="36"/>
      <c r="P36" s="36"/>
      <c r="Q36" s="36"/>
    </row>
    <row r="37" spans="1:17" x14ac:dyDescent="0.25">
      <c r="A37" s="38"/>
      <c r="B37" s="35"/>
      <c r="C37" s="38"/>
      <c r="D37" s="35"/>
      <c r="E37" s="34"/>
      <c r="F37" s="36"/>
      <c r="G37" s="38"/>
      <c r="H37" s="35"/>
      <c r="I37" s="36"/>
      <c r="J37" s="38"/>
      <c r="K37" s="35"/>
      <c r="L37" s="36"/>
      <c r="M37" s="38"/>
      <c r="N37" s="35"/>
      <c r="O37" s="36"/>
      <c r="P37" s="36"/>
      <c r="Q37" s="36"/>
    </row>
    <row r="38" spans="1:17" x14ac:dyDescent="0.25">
      <c r="A38" s="38"/>
      <c r="B38" s="35"/>
      <c r="C38" s="38"/>
      <c r="D38" s="35"/>
      <c r="E38" s="34"/>
      <c r="F38" s="36"/>
      <c r="G38" s="38"/>
      <c r="H38" s="35"/>
      <c r="I38" s="36"/>
      <c r="J38" s="38"/>
      <c r="K38" s="35"/>
      <c r="L38" s="36"/>
      <c r="M38" s="38"/>
      <c r="N38" s="35"/>
      <c r="O38" s="36"/>
      <c r="P38" s="36"/>
      <c r="Q38" s="36"/>
    </row>
    <row r="39" spans="1:17" x14ac:dyDescent="0.25">
      <c r="A39" s="38"/>
      <c r="B39" s="35"/>
      <c r="C39" s="39"/>
      <c r="D39" s="35"/>
      <c r="E39" s="41"/>
      <c r="F39" s="42"/>
      <c r="G39" s="42"/>
      <c r="H39" s="35"/>
      <c r="I39" s="42"/>
      <c r="J39" s="42"/>
      <c r="K39" s="35"/>
      <c r="L39" s="42"/>
      <c r="M39" s="42"/>
      <c r="N39" s="35"/>
      <c r="O39" s="42"/>
      <c r="P39" s="42"/>
      <c r="Q39" s="42"/>
    </row>
    <row r="40" spans="1:17" x14ac:dyDescent="0.25">
      <c r="A40" s="38"/>
      <c r="B40" s="35"/>
      <c r="C40" s="39"/>
      <c r="D40" s="35"/>
      <c r="E40" s="41"/>
      <c r="F40" s="42"/>
      <c r="G40" s="43"/>
      <c r="H40" s="35"/>
      <c r="I40" s="42"/>
      <c r="J40" s="43"/>
      <c r="K40" s="35"/>
      <c r="L40" s="42"/>
      <c r="M40" s="43"/>
      <c r="N40" s="35"/>
      <c r="O40" s="42"/>
      <c r="P40" s="42"/>
      <c r="Q40" s="42"/>
    </row>
    <row r="41" spans="1:17" x14ac:dyDescent="0.25">
      <c r="A41" s="34"/>
      <c r="B41" s="35"/>
      <c r="C41" s="34"/>
      <c r="D41" s="35"/>
      <c r="E41" s="35"/>
      <c r="F41" s="42"/>
      <c r="G41" s="42"/>
      <c r="H41" s="35"/>
      <c r="I41" s="42"/>
      <c r="J41" s="42"/>
      <c r="K41" s="35"/>
      <c r="L41" s="42"/>
      <c r="M41" s="42"/>
      <c r="N41" s="35"/>
      <c r="O41" s="42"/>
      <c r="P41" s="42"/>
      <c r="Q41" s="35"/>
    </row>
    <row r="42" spans="1:17" x14ac:dyDescent="0.25">
      <c r="A42" s="34"/>
      <c r="B42" s="35"/>
      <c r="C42" s="34"/>
      <c r="D42" s="34"/>
      <c r="E42" s="36"/>
      <c r="F42" s="36"/>
      <c r="G42" s="36"/>
      <c r="H42" s="40"/>
      <c r="I42" s="36"/>
      <c r="J42" s="36"/>
      <c r="K42" s="36"/>
      <c r="L42" s="36"/>
      <c r="M42" s="36"/>
      <c r="N42" s="36"/>
      <c r="O42" s="36"/>
      <c r="P42" s="36"/>
      <c r="Q42" s="36"/>
    </row>
    <row r="43" spans="1:17" x14ac:dyDescent="0.25">
      <c r="A43" s="34"/>
      <c r="B43" s="35"/>
      <c r="C43" s="34"/>
      <c r="D43" s="34"/>
      <c r="E43" s="36"/>
      <c r="F43" s="36"/>
      <c r="G43" s="36"/>
      <c r="H43" s="40"/>
      <c r="I43" s="36"/>
      <c r="J43" s="36"/>
      <c r="K43" s="36"/>
      <c r="L43" s="36"/>
      <c r="M43" s="36"/>
      <c r="N43" s="36"/>
      <c r="O43" s="36"/>
      <c r="P43" s="36"/>
      <c r="Q43" s="36"/>
    </row>
    <row r="44" spans="1:17" x14ac:dyDescent="0.25">
      <c r="A44" s="34"/>
      <c r="B44" s="35"/>
      <c r="C44" s="34"/>
      <c r="D44" s="34"/>
      <c r="E44" s="36"/>
      <c r="F44" s="36"/>
      <c r="G44" s="36"/>
      <c r="H44" s="40"/>
      <c r="I44" s="36"/>
      <c r="J44" s="36"/>
      <c r="K44" s="36"/>
      <c r="L44" s="36"/>
      <c r="M44" s="36"/>
      <c r="N44" s="36"/>
      <c r="O44" s="36"/>
      <c r="P44" s="36"/>
      <c r="Q44" s="36"/>
    </row>
    <row r="45" spans="1:17" x14ac:dyDescent="0.25">
      <c r="A45" s="34"/>
      <c r="B45" s="35"/>
      <c r="C45" s="34"/>
      <c r="D45" s="34"/>
      <c r="E45" s="36"/>
      <c r="F45" s="36"/>
      <c r="G45" s="36"/>
      <c r="H45" s="40"/>
      <c r="I45" s="36"/>
      <c r="J45" s="36"/>
      <c r="K45" s="36"/>
      <c r="L45" s="36"/>
      <c r="M45" s="36"/>
      <c r="N45" s="36"/>
      <c r="O45" s="36"/>
      <c r="P45" s="36"/>
      <c r="Q45" s="36"/>
    </row>
  </sheetData>
  <mergeCells count="2">
    <mergeCell ref="A1:C1"/>
    <mergeCell ref="G1:R1"/>
  </mergeCells>
  <phoneticPr fontId="7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간편 손익분석표</vt:lpstr>
      <vt:lpstr>2510</vt:lpstr>
      <vt:lpstr>2511</vt:lpstr>
      <vt:lpstr>2512</vt:lpstr>
      <vt:lpstr>2601</vt:lpstr>
      <vt:lpstr>2602</vt:lpstr>
      <vt:lpstr>2603</vt:lpstr>
      <vt:lpstr>2604</vt:lpstr>
      <vt:lpstr>2605</vt:lpstr>
      <vt:lpstr>2606</vt:lpstr>
      <vt:lpstr>2607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2024-07-05T08:25:14Z</dcterms:created>
  <dcterms:modified xsi:type="dcterms:W3CDTF">2026-08-30T04:04:00Z</dcterms:modified>
</cp:coreProperties>
</file>